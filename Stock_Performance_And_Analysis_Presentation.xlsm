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hidePivotFieldList="1"/>
  <mc:AlternateContent xmlns:mc="http://schemas.openxmlformats.org/markup-compatibility/2006">
    <mc:Choice Requires="x15">
      <x15ac:absPath xmlns:x15ac="http://schemas.microsoft.com/office/spreadsheetml/2010/11/ac" url="C:\Users\chads\Downloads\Stock_Portfolio_Project_Stuff\"/>
    </mc:Choice>
  </mc:AlternateContent>
  <xr:revisionPtr revIDLastSave="0" documentId="13_ncr:1_{922CA6BF-FC2C-455F-96CC-1EA4226F7804}" xr6:coauthVersionLast="47" xr6:coauthVersionMax="47" xr10:uidLastSave="{00000000-0000-0000-0000-000000000000}"/>
  <bookViews>
    <workbookView xWindow="-108" yWindow="-108" windowWidth="23256" windowHeight="13896" tabRatio="345" activeTab="1" xr2:uid="{5FB0E5DB-0CA6-4198-BF7A-6ED2EBB2748D}"/>
  </bookViews>
  <sheets>
    <sheet name="Transactions" sheetId="1" r:id="rId1"/>
    <sheet name="Dashboard" sheetId="2" r:id="rId2"/>
    <sheet name="Analysis" sheetId="3" r:id="rId3"/>
  </sheets>
  <definedNames>
    <definedName name="_xlchart.v1.0" hidden="1">Dashboard!$C$8:$C$15</definedName>
    <definedName name="_xlchart.v1.1" hidden="1">Dashboard!$N$8:$N$15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2" l="1" a="1"/>
  <c r="H15" i="1"/>
  <c r="I15" i="1" s="1"/>
  <c r="H12" i="1"/>
  <c r="I12" i="1" s="1"/>
  <c r="H11" i="1"/>
  <c r="I11" i="1" s="1"/>
  <c r="H10" i="1"/>
  <c r="I10" i="1" s="1"/>
  <c r="H13" i="1"/>
  <c r="I13" i="1" s="1"/>
  <c r="H9" i="1"/>
  <c r="I9" i="1" s="1"/>
  <c r="H5" i="1"/>
  <c r="I5" i="1" s="1"/>
  <c r="H3" i="1"/>
  <c r="I3" i="1" s="1"/>
  <c r="H14" i="1"/>
  <c r="I14" i="1" s="1"/>
  <c r="H8" i="1"/>
  <c r="I8" i="1" s="1"/>
  <c r="H7" i="1"/>
  <c r="I7" i="1" s="1"/>
  <c r="H6" i="1"/>
  <c r="I6" i="1" s="1"/>
  <c r="H4" i="1"/>
  <c r="I4" i="1" s="1"/>
  <c r="H16" i="1"/>
  <c r="I16" i="1" s="1"/>
  <c r="H17" i="1"/>
  <c r="I17" i="1" s="1"/>
  <c r="H18" i="1"/>
  <c r="I18" i="1" s="1"/>
  <c r="H19" i="1"/>
  <c r="I19" i="1" s="1"/>
  <c r="H20" i="1"/>
  <c r="I20" i="1" s="1"/>
  <c r="H21" i="1"/>
  <c r="I21" i="1" s="1"/>
  <c r="H22" i="1"/>
  <c r="I22" i="1" s="1"/>
  <c r="H23" i="1"/>
  <c r="I23" i="1" s="1"/>
  <c r="H24" i="1"/>
  <c r="I24" i="1" s="1"/>
  <c r="H25" i="1"/>
  <c r="I25" i="1" s="1"/>
  <c r="H26" i="1"/>
  <c r="I26" i="1" s="1"/>
  <c r="H27" i="1"/>
  <c r="I27" i="1" s="1"/>
  <c r="H28" i="1"/>
  <c r="I28" i="1" s="1"/>
  <c r="D17" i="1" a="1"/>
  <c r="D17" i="1" s="1"/>
  <c r="C4" i="3"/>
  <c r="I6" i="3" s="1" a="1"/>
  <c r="I6" i="3" s="1"/>
  <c r="F4" i="3"/>
  <c r="F6" i="3"/>
  <c r="C6" i="3"/>
  <c r="I31" i="3" s="1" a="1"/>
  <c r="I31" i="3" s="1"/>
  <c r="D11" i="1" a="1"/>
  <c r="D11" i="1" s="1"/>
  <c r="D15" i="1" a="1"/>
  <c r="D15" i="1" s="1"/>
  <c r="D7" i="1" a="1"/>
  <c r="D7" i="1" s="1"/>
  <c r="D14" i="1" a="1"/>
  <c r="D14" i="1" s="1"/>
  <c r="D8" i="1" a="1"/>
  <c r="D8" i="1" s="1"/>
  <c r="D6" i="1" a="1"/>
  <c r="D6" i="1" s="1"/>
  <c r="D16" i="1" a="1"/>
  <c r="D16" i="1" s="1"/>
  <c r="D4" i="1" a="1"/>
  <c r="D4" i="1" s="1"/>
  <c r="D18" i="1" a="1"/>
  <c r="D18" i="1" s="1"/>
  <c r="D19" i="1" a="1"/>
  <c r="D19" i="1" s="1"/>
  <c r="D20" i="1" a="1"/>
  <c r="D20" i="1" s="1"/>
  <c r="D21" i="1" a="1"/>
  <c r="D21" i="1" s="1"/>
  <c r="D22" i="1" a="1"/>
  <c r="D22" i="1" s="1"/>
  <c r="D23" i="1" a="1"/>
  <c r="D23" i="1" s="1"/>
  <c r="D24" i="1" a="1"/>
  <c r="D24" i="1" s="1"/>
  <c r="D25" i="1" a="1"/>
  <c r="D25" i="1" s="1"/>
  <c r="D26" i="1" a="1"/>
  <c r="D26" i="1" s="1"/>
  <c r="D27" i="1" a="1"/>
  <c r="D27" i="1" s="1"/>
  <c r="D28" i="1" a="1"/>
  <c r="D28" i="1" s="1"/>
  <c r="D9" i="1" a="1"/>
  <c r="D9" i="1" s="1"/>
  <c r="D13" i="1" a="1"/>
  <c r="D13" i="1" s="1"/>
  <c r="D3" i="1" a="1"/>
  <c r="D3" i="1" s="1"/>
  <c r="D5" i="1" a="1"/>
  <c r="D5" i="1" s="1"/>
  <c r="D10" i="1" a="1"/>
  <c r="D10" i="1" s="1"/>
  <c r="D12" i="1" a="1"/>
  <c r="D12" i="1" s="1"/>
  <c r="E8" i="3" a="1"/>
  <c r="B8" i="3" a="1"/>
  <c r="B8" i="2" l="1"/>
  <c r="L8" i="2" s="1" a="1"/>
  <c r="L8" i="2" s="1"/>
  <c r="M16" i="2" a="1"/>
  <c r="M16" i="2" s="1"/>
  <c r="N16" i="2" a="1"/>
  <c r="N16" i="2" s="1"/>
  <c r="N15" i="2" a="1"/>
  <c r="N15" i="2" s="1"/>
  <c r="M15" i="2" a="1"/>
  <c r="M15" i="2" s="1"/>
  <c r="B8" i="3"/>
  <c r="I29" i="1"/>
  <c r="M14" i="2" a="1"/>
  <c r="M14" i="2" s="1"/>
  <c r="N14" i="2" a="1"/>
  <c r="N14" i="2" s="1"/>
  <c r="M13" i="2" a="1"/>
  <c r="M13" i="2" s="1"/>
  <c r="N13" i="2" a="1"/>
  <c r="N13" i="2" s="1"/>
  <c r="N12" i="2" a="1"/>
  <c r="N12" i="2" s="1"/>
  <c r="N10" i="2" a="1"/>
  <c r="N10" i="2" s="1"/>
  <c r="N9" i="2" a="1"/>
  <c r="N9" i="2" s="1"/>
  <c r="N11" i="2" a="1"/>
  <c r="N11" i="2" s="1"/>
  <c r="E8" i="3"/>
  <c r="M11" i="2" a="1"/>
  <c r="M11" i="2" s="1"/>
  <c r="M9" i="2" a="1"/>
  <c r="M9" i="2" s="1"/>
  <c r="M12" i="2" a="1"/>
  <c r="M12" i="2" s="1"/>
  <c r="M10" i="2" a="1"/>
  <c r="M10" i="2" s="1"/>
  <c r="D8" i="2" l="1" a="1"/>
  <c r="D8" i="2" s="1"/>
  <c r="F8" i="2" a="1"/>
  <c r="F8" i="2" s="1"/>
  <c r="E8" i="2" a="1"/>
  <c r="E8" i="2" s="1"/>
  <c r="K8" i="2" a="1"/>
  <c r="K8" i="2" s="1"/>
  <c r="C8" i="2" a="1"/>
  <c r="O16" i="2" s="1"/>
  <c r="M8" i="2" a="1"/>
  <c r="M8" i="2" s="1"/>
  <c r="N8" i="2" a="1"/>
  <c r="N8" i="2" s="1"/>
  <c r="O14" i="2" l="1"/>
  <c r="O13" i="2"/>
  <c r="O12" i="2"/>
  <c r="O11" i="2"/>
  <c r="O10" i="2"/>
  <c r="O9" i="2"/>
  <c r="I8" i="2" a="1"/>
  <c r="I8" i="2" s="1"/>
  <c r="H3" i="2" s="1"/>
  <c r="O15" i="2"/>
  <c r="C8" i="2"/>
  <c r="O8" i="2" s="1"/>
  <c r="G8" i="2" a="1"/>
  <c r="G8" i="2" s="1"/>
  <c r="E3" i="2" s="1"/>
  <c r="J8" i="2" l="1" a="1"/>
  <c r="J8" i="2" s="1"/>
  <c r="K3" i="2" s="1"/>
  <c r="H8" i="2" a="1"/>
  <c r="H8"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55">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futureMetadata>
  <cellMetadata count="1">
    <bk>
      <rc t="1" v="0"/>
    </bk>
  </cellMetadata>
  <valueMetadata count="35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valueMetadata>
</metadata>
</file>

<file path=xl/sharedStrings.xml><?xml version="1.0" encoding="utf-8"?>
<sst xmlns="http://schemas.openxmlformats.org/spreadsheetml/2006/main" count="61" uniqueCount="41">
  <si>
    <t>Company</t>
  </si>
  <si>
    <t>Ticker</t>
  </si>
  <si>
    <t>Transaction Type</t>
  </si>
  <si>
    <t>Units</t>
  </si>
  <si>
    <t>Price</t>
  </si>
  <si>
    <t>Total Transaction Amount</t>
  </si>
  <si>
    <t>BUY</t>
  </si>
  <si>
    <t>Portfolio Value</t>
  </si>
  <si>
    <t>$ Change For Day</t>
  </si>
  <si>
    <t>Overall Gain/(Loss)</t>
  </si>
  <si>
    <t>Current Investments</t>
  </si>
  <si>
    <t>Industry</t>
  </si>
  <si>
    <t>Quantity</t>
  </si>
  <si>
    <t>Current Price</t>
  </si>
  <si>
    <t>Market Value</t>
  </si>
  <si>
    <t>% Breakdown</t>
  </si>
  <si>
    <t>$ Day Change</t>
  </si>
  <si>
    <t>Gain(Loss)</t>
  </si>
  <si>
    <t>52 Week High</t>
  </si>
  <si>
    <t>52 Week Low</t>
  </si>
  <si>
    <t>Current P/E Ratio</t>
  </si>
  <si>
    <t>Portfolio Breakdown</t>
  </si>
  <si>
    <t>Gain / (Loss) Breakdown</t>
  </si>
  <si>
    <t>Historical Performance Chart</t>
  </si>
  <si>
    <t>Company Comparison Chart</t>
  </si>
  <si>
    <t>Stock Search -&gt;</t>
  </si>
  <si>
    <t>Time Period (Months) -&gt;</t>
  </si>
  <si>
    <t>Comparison Company -&gt;</t>
  </si>
  <si>
    <t>..</t>
  </si>
  <si>
    <t>Reference Stock</t>
  </si>
  <si>
    <t>Comparison Stock</t>
  </si>
  <si>
    <t>Ticker Symbol</t>
  </si>
  <si>
    <t>Months</t>
  </si>
  <si>
    <t>Stock Investment Portfolio</t>
  </si>
  <si>
    <t>Market Cap (Billions)</t>
  </si>
  <si>
    <t xml:space="preserve"> </t>
  </si>
  <si>
    <t>Purchase Date</t>
  </si>
  <si>
    <t>SELL</t>
  </si>
  <si>
    <t>Yahoo Finance</t>
  </si>
  <si>
    <t>Total</t>
  </si>
  <si>
    <t>Adjusted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</si>
</sst>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7" formatCode="&quot;$&quot;#,##0.00_);\(&quot;$&quot;#,##0.00\)"/>
    <numFmt numFmtId="8" formatCode="&quot;$&quot;#,##0.00_);[Red]\(&quot;$&quot;#,##0.00\)"/>
    <numFmt numFmtId="164" formatCode="&quot;$&quot;#,##0.00"/>
    <numFmt numFmtId="165" formatCode="0.000_);\(0.000\)"/>
    <numFmt numFmtId="166" formatCode="_([$$-409]* #,##0.00_);_([$$-409]* \(#,##0.00\);_([$$-409]* &quot;-&quot;??_);_(@_)"/>
    <numFmt numFmtId="167" formatCode="&quot;$&quot;#,##0"/>
    <numFmt numFmtId="168" formatCode="#,##0.000_);\(#,##0.000\)"/>
  </numFmts>
  <fonts count="10" x14ac:knownFonts="1">
    <font>
      <sz val="11"/>
      <color theme="1"/>
      <name val="Tw Cen MT"/>
      <family val="2"/>
      <scheme val="minor"/>
    </font>
    <font>
      <b/>
      <sz val="11"/>
      <color theme="0"/>
      <name val="Tw Cen MT"/>
      <family val="2"/>
      <scheme val="minor"/>
    </font>
    <font>
      <b/>
      <sz val="11"/>
      <color theme="1"/>
      <name val="Tw Cen MT"/>
      <family val="2"/>
      <scheme val="minor"/>
    </font>
    <font>
      <b/>
      <sz val="20"/>
      <color theme="0"/>
      <name val="Tw Cen MT"/>
      <family val="2"/>
      <scheme val="minor"/>
    </font>
    <font>
      <sz val="16"/>
      <color theme="1"/>
      <name val="Tw Cen MT"/>
      <family val="2"/>
      <scheme val="minor"/>
    </font>
    <font>
      <b/>
      <sz val="12"/>
      <color theme="0"/>
      <name val="Tw Cen MT"/>
      <family val="2"/>
      <scheme val="minor"/>
    </font>
    <font>
      <b/>
      <sz val="22"/>
      <color theme="0"/>
      <name val="Tw Cen MT"/>
      <family val="2"/>
      <scheme val="minor"/>
    </font>
    <font>
      <b/>
      <sz val="16"/>
      <color theme="0"/>
      <name val="Tw Cen MT"/>
      <family val="2"/>
      <scheme val="minor"/>
    </font>
    <font>
      <b/>
      <sz val="9"/>
      <color theme="1"/>
      <name val="Tw Cen MT"/>
      <family val="2"/>
      <scheme val="minor"/>
    </font>
    <font>
      <u/>
      <sz val="11"/>
      <color theme="10"/>
      <name val="Tw Cen MT"/>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7" tint="0.79998168889431442"/>
        <bgColor indexed="64"/>
      </patternFill>
    </fill>
    <fill>
      <patternFill patternType="solid">
        <fgColor theme="3" tint="0.499984740745262"/>
        <bgColor indexed="64"/>
      </patternFill>
    </fill>
    <fill>
      <patternFill patternType="solid">
        <fgColor theme="4" tint="-0.249977111117893"/>
        <bgColor indexed="64"/>
      </patternFill>
    </fill>
    <fill>
      <patternFill patternType="solid">
        <fgColor theme="4" tint="-0.499984740745262"/>
        <bgColor indexed="64"/>
      </patternFill>
    </fill>
  </fills>
  <borders count="19">
    <border>
      <left/>
      <right/>
      <top/>
      <bottom/>
      <diagonal/>
    </border>
    <border>
      <left style="thin">
        <color theme="0"/>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style="thin">
        <color auto="1"/>
      </left>
      <right style="thin">
        <color auto="1"/>
      </right>
      <top style="thin">
        <color auto="1"/>
      </top>
      <bottom style="thin">
        <color auto="1"/>
      </bottom>
      <diagonal/>
    </border>
    <border>
      <left style="thin">
        <color theme="1"/>
      </left>
      <right style="thin">
        <color theme="1"/>
      </right>
      <top style="thin">
        <color theme="1"/>
      </top>
      <bottom style="thin">
        <color theme="1"/>
      </bottom>
      <diagonal/>
    </border>
    <border>
      <left/>
      <right style="thin">
        <color theme="0"/>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9" fillId="0" borderId="0" applyNumberFormat="0" applyFill="0" applyBorder="0" applyAlignment="0" applyProtection="0"/>
  </cellStyleXfs>
  <cellXfs count="74">
    <xf numFmtId="0" fontId="0" fillId="0" borderId="0" xfId="0"/>
    <xf numFmtId="14" fontId="0" fillId="0" borderId="0" xfId="0" applyNumberFormat="1"/>
    <xf numFmtId="164" fontId="0" fillId="0" borderId="0" xfId="0" applyNumberFormat="1"/>
    <xf numFmtId="7" fontId="0" fillId="0" borderId="0" xfId="0" applyNumberFormat="1"/>
    <xf numFmtId="0" fontId="2" fillId="0" borderId="0" xfId="0" applyFont="1" applyAlignment="1">
      <alignment horizontal="center" vertical="center" wrapText="1"/>
    </xf>
    <xf numFmtId="0" fontId="0" fillId="0" borderId="0" xfId="0" applyAlignment="1">
      <alignment vertical="center" wrapText="1"/>
    </xf>
    <xf numFmtId="9" fontId="0" fillId="0" borderId="0" xfId="0" applyNumberFormat="1" applyAlignment="1">
      <alignment vertical="center" wrapText="1"/>
    </xf>
    <xf numFmtId="10" fontId="0" fillId="0" borderId="0" xfId="0" applyNumberFormat="1"/>
    <xf numFmtId="165" fontId="0" fillId="0" borderId="0" xfId="0" applyNumberFormat="1"/>
    <xf numFmtId="8" fontId="0" fillId="0" borderId="0" xfId="0" applyNumberFormat="1"/>
    <xf numFmtId="164" fontId="0" fillId="0" borderId="0" xfId="0" applyNumberFormat="1" applyAlignment="1">
      <alignment horizontal="centerContinuous"/>
    </xf>
    <xf numFmtId="0" fontId="0" fillId="0" borderId="0" xfId="0" applyAlignment="1">
      <alignment horizontal="centerContinuous"/>
    </xf>
    <xf numFmtId="164" fontId="2" fillId="0" borderId="0" xfId="0" applyNumberFormat="1" applyFont="1" applyAlignment="1">
      <alignment horizontal="centerContinuous"/>
    </xf>
    <xf numFmtId="0" fontId="2" fillId="0" borderId="0" xfId="0" applyFont="1" applyAlignment="1">
      <alignment horizontal="centerContinuous"/>
    </xf>
    <xf numFmtId="0" fontId="2" fillId="0" borderId="0" xfId="0" applyFont="1"/>
    <xf numFmtId="3" fontId="0" fillId="3" borderId="6" xfId="0" applyNumberFormat="1" applyFill="1" applyBorder="1"/>
    <xf numFmtId="164" fontId="1" fillId="4" borderId="0" xfId="0" applyNumberFormat="1" applyFont="1" applyFill="1" applyAlignment="1">
      <alignment horizontal="centerContinuous"/>
    </xf>
    <xf numFmtId="164" fontId="0" fillId="2" borderId="9" xfId="0" applyNumberFormat="1" applyFill="1" applyBorder="1" applyAlignment="1">
      <alignment horizontal="centerContinuous"/>
    </xf>
    <xf numFmtId="164" fontId="0" fillId="2" borderId="10" xfId="0" applyNumberFormat="1" applyFill="1" applyBorder="1" applyAlignment="1">
      <alignment horizontal="centerContinuous"/>
    </xf>
    <xf numFmtId="0" fontId="1" fillId="5" borderId="0" xfId="0" applyFont="1" applyFill="1" applyAlignment="1">
      <alignment horizontal="centerContinuous"/>
    </xf>
    <xf numFmtId="164" fontId="0" fillId="3" borderId="6" xfId="0" applyNumberFormat="1" applyFill="1" applyBorder="1" applyAlignment="1">
      <alignment horizontal="fill"/>
    </xf>
    <xf numFmtId="164" fontId="0" fillId="2" borderId="5" xfId="0" applyNumberFormat="1" applyFill="1" applyBorder="1" applyAlignment="1">
      <alignment horizontal="fill"/>
    </xf>
    <xf numFmtId="166" fontId="0" fillId="0" borderId="0" xfId="0" applyNumberFormat="1"/>
    <xf numFmtId="0" fontId="1" fillId="6" borderId="1" xfId="0" applyFont="1" applyFill="1" applyBorder="1" applyAlignment="1">
      <alignment horizontal="centerContinuous" vertical="center"/>
    </xf>
    <xf numFmtId="0" fontId="1" fillId="6" borderId="2" xfId="0" applyFont="1" applyFill="1" applyBorder="1" applyAlignment="1">
      <alignment horizontal="centerContinuous" vertical="center"/>
    </xf>
    <xf numFmtId="8" fontId="0" fillId="6" borderId="2" xfId="0" applyNumberFormat="1" applyFill="1" applyBorder="1" applyAlignment="1">
      <alignment horizontal="centerContinuous" vertical="center"/>
    </xf>
    <xf numFmtId="8" fontId="7" fillId="6" borderId="3" xfId="0" applyNumberFormat="1" applyFont="1" applyFill="1" applyBorder="1" applyAlignment="1">
      <alignment horizontal="centerContinuous" vertical="distributed"/>
    </xf>
    <xf numFmtId="0" fontId="1" fillId="6" borderId="4" xfId="0" applyFont="1" applyFill="1" applyBorder="1" applyAlignment="1">
      <alignment horizontal="centerContinuous" vertical="distributed"/>
    </xf>
    <xf numFmtId="8" fontId="7" fillId="6" borderId="3" xfId="0" applyNumberFormat="1" applyFont="1" applyFill="1" applyBorder="1" applyAlignment="1">
      <alignment horizontal="centerContinuous" vertical="center"/>
    </xf>
    <xf numFmtId="8" fontId="7" fillId="6" borderId="4" xfId="0" applyNumberFormat="1" applyFont="1" applyFill="1" applyBorder="1" applyAlignment="1">
      <alignment horizontal="centerContinuous" vertical="center"/>
    </xf>
    <xf numFmtId="0" fontId="0" fillId="6" borderId="4" xfId="0" applyFill="1" applyBorder="1" applyAlignment="1">
      <alignment horizontal="centerContinuous" vertical="center"/>
    </xf>
    <xf numFmtId="164" fontId="0" fillId="2" borderId="5" xfId="0" applyNumberFormat="1" applyFill="1" applyBorder="1" applyAlignment="1" applyProtection="1">
      <alignment horizontal="fill"/>
      <protection locked="0"/>
    </xf>
    <xf numFmtId="164" fontId="0" fillId="2" borderId="8" xfId="0" applyNumberFormat="1" applyFill="1" applyBorder="1" applyAlignment="1" applyProtection="1">
      <alignment horizontal="centerContinuous"/>
      <protection locked="0"/>
    </xf>
    <xf numFmtId="3" fontId="0" fillId="2" borderId="6" xfId="0" applyNumberFormat="1" applyFill="1" applyBorder="1" applyProtection="1">
      <protection locked="0"/>
    </xf>
    <xf numFmtId="0" fontId="3" fillId="6" borderId="11" xfId="0" applyFont="1" applyFill="1" applyBorder="1" applyAlignment="1">
      <alignment vertical="center"/>
    </xf>
    <xf numFmtId="0" fontId="0" fillId="6" borderId="12" xfId="0" applyFill="1" applyBorder="1" applyAlignment="1">
      <alignment vertical="center"/>
    </xf>
    <xf numFmtId="8" fontId="0" fillId="6" borderId="12" xfId="0" applyNumberFormat="1" applyFill="1" applyBorder="1" applyAlignment="1">
      <alignment vertical="center"/>
    </xf>
    <xf numFmtId="0" fontId="0" fillId="6" borderId="13" xfId="0" applyFill="1" applyBorder="1" applyAlignment="1">
      <alignment vertical="center"/>
    </xf>
    <xf numFmtId="0" fontId="0" fillId="6" borderId="14" xfId="0" applyFill="1" applyBorder="1" applyAlignment="1">
      <alignment vertical="center"/>
    </xf>
    <xf numFmtId="0" fontId="0" fillId="6" borderId="0" xfId="0" applyFill="1" applyAlignment="1">
      <alignment vertical="center"/>
    </xf>
    <xf numFmtId="0" fontId="0" fillId="6" borderId="15" xfId="0" applyFill="1" applyBorder="1" applyAlignment="1">
      <alignment vertical="center"/>
    </xf>
    <xf numFmtId="0" fontId="1" fillId="6" borderId="0" xfId="0" applyFont="1" applyFill="1" applyAlignment="1">
      <alignment horizontal="centerContinuous" vertical="distributed"/>
    </xf>
    <xf numFmtId="0" fontId="4" fillId="6" borderId="0" xfId="0" applyFont="1" applyFill="1" applyAlignment="1">
      <alignment horizontal="centerContinuous" vertical="center"/>
    </xf>
    <xf numFmtId="8" fontId="4" fillId="6" borderId="0" xfId="0" applyNumberFormat="1" applyFont="1" applyFill="1" applyAlignment="1">
      <alignment horizontal="centerContinuous" vertical="center"/>
    </xf>
    <xf numFmtId="0" fontId="0" fillId="0" borderId="14" xfId="0" applyBorder="1"/>
    <xf numFmtId="0" fontId="0" fillId="0" borderId="15" xfId="0" applyBorder="1"/>
    <xf numFmtId="0" fontId="5" fillId="5" borderId="0" xfId="0" applyFont="1" applyFill="1" applyAlignment="1">
      <alignment horizontal="centerContinuous"/>
    </xf>
    <xf numFmtId="0" fontId="1" fillId="4" borderId="0" xfId="0" applyFont="1" applyFill="1"/>
    <xf numFmtId="164" fontId="1" fillId="4" borderId="0" xfId="0" applyNumberFormat="1" applyFont="1" applyFill="1"/>
    <xf numFmtId="10" fontId="1" fillId="4" borderId="0" xfId="0" applyNumberFormat="1" applyFont="1" applyFill="1"/>
    <xf numFmtId="8" fontId="1" fillId="4" borderId="0" xfId="0" applyNumberFormat="1" applyFont="1" applyFill="1"/>
    <xf numFmtId="0" fontId="1" fillId="4" borderId="0" xfId="0" applyFont="1" applyFill="1" applyAlignment="1">
      <alignment horizontal="center"/>
    </xf>
    <xf numFmtId="4" fontId="0" fillId="0" borderId="0" xfId="0" applyNumberFormat="1"/>
    <xf numFmtId="167" fontId="0" fillId="0" borderId="0" xfId="0" applyNumberFormat="1"/>
    <xf numFmtId="0" fontId="0" fillId="5" borderId="0" xfId="0" applyFill="1" applyAlignment="1">
      <alignment horizontal="centerContinuous"/>
    </xf>
    <xf numFmtId="164" fontId="1" fillId="5" borderId="0" xfId="0" applyNumberFormat="1" applyFont="1" applyFill="1" applyAlignment="1">
      <alignment horizontal="centerContinuous"/>
    </xf>
    <xf numFmtId="10" fontId="1" fillId="5" borderId="0" xfId="0" applyNumberFormat="1" applyFont="1" applyFill="1" applyAlignment="1">
      <alignment horizontal="centerContinuous"/>
    </xf>
    <xf numFmtId="8" fontId="1" fillId="5" borderId="0" xfId="0" applyNumberFormat="1" applyFont="1" applyFill="1" applyAlignment="1">
      <alignment horizontal="centerContinuous"/>
    </xf>
    <xf numFmtId="0" fontId="0" fillId="0" borderId="16" xfId="0" applyBorder="1"/>
    <xf numFmtId="0" fontId="0" fillId="0" borderId="17" xfId="0" applyBorder="1"/>
    <xf numFmtId="164" fontId="0" fillId="0" borderId="17" xfId="0" applyNumberFormat="1" applyBorder="1"/>
    <xf numFmtId="10" fontId="0" fillId="0" borderId="17" xfId="0" applyNumberFormat="1" applyBorder="1"/>
    <xf numFmtId="8" fontId="0" fillId="0" borderId="17" xfId="0" applyNumberFormat="1" applyBorder="1"/>
    <xf numFmtId="0" fontId="0" fillId="0" borderId="18" xfId="0" applyBorder="1"/>
    <xf numFmtId="0" fontId="0" fillId="0" borderId="0" xfId="0" applyAlignment="1">
      <alignment horizontal="center"/>
    </xf>
    <xf numFmtId="164" fontId="8" fillId="0" borderId="0" xfId="0" applyNumberFormat="1" applyFont="1" applyAlignment="1">
      <alignment horizontal="center"/>
    </xf>
    <xf numFmtId="164" fontId="2" fillId="0" borderId="0" xfId="0" applyNumberFormat="1" applyFont="1" applyAlignment="1">
      <alignment horizontal="center"/>
    </xf>
    <xf numFmtId="0" fontId="9" fillId="0" borderId="15" xfId="1" applyBorder="1"/>
    <xf numFmtId="168" fontId="0" fillId="0" borderId="0" xfId="0" applyNumberFormat="1"/>
    <xf numFmtId="164" fontId="0" fillId="6" borderId="12" xfId="0" applyNumberFormat="1" applyFill="1" applyBorder="1" applyAlignment="1">
      <alignment vertical="center"/>
    </xf>
    <xf numFmtId="164" fontId="0" fillId="6" borderId="0" xfId="0" applyNumberFormat="1" applyFill="1" applyAlignment="1">
      <alignment vertical="center"/>
    </xf>
    <xf numFmtId="164" fontId="5" fillId="5" borderId="0" xfId="0" applyNumberFormat="1" applyFont="1" applyFill="1" applyAlignment="1">
      <alignment horizontal="centerContinuous"/>
    </xf>
    <xf numFmtId="0" fontId="6" fillId="6" borderId="0" xfId="0" applyFont="1" applyFill="1" applyAlignment="1">
      <alignment horizontal="center" vertical="distributed"/>
    </xf>
    <xf numFmtId="0" fontId="6" fillId="6" borderId="7" xfId="0" applyFont="1" applyFill="1" applyBorder="1" applyAlignment="1">
      <alignment horizontal="center" vertical="distributed"/>
    </xf>
  </cellXfs>
  <cellStyles count="2">
    <cellStyle name="Hyperlink" xfId="1" builtinId="8"/>
    <cellStyle name="Normal" xfId="0" builtinId="0"/>
  </cellStyles>
  <dxfs count="6">
    <dxf>
      <numFmt numFmtId="11" formatCode="&quot;$&quot;#,##0.00_);\(&quot;$&quot;#,##0.00\)"/>
    </dxf>
    <dxf>
      <numFmt numFmtId="11" formatCode="&quot;$&quot;#,##0.00_);\(&quot;$&quot;#,##0.00\)"/>
    </dxf>
    <dxf>
      <numFmt numFmtId="168" formatCode="#,##0.000_);\(#,##0.000\)"/>
    </dxf>
    <dxf>
      <numFmt numFmtId="164" formatCode="&quot;$&quot;#,##0.00"/>
    </dxf>
    <dxf>
      <numFmt numFmtId="165" formatCode="0.000_);\(0.00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ichStyles" Target="richData/richStyles.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dArray" Target="richData/rdarray.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pieChart>
        <c:varyColors val="1"/>
        <c:ser>
          <c:idx val="0"/>
          <c:order val="0"/>
          <c:dPt>
            <c:idx val="0"/>
            <c:bubble3D val="0"/>
            <c:spPr>
              <a:solidFill>
                <a:schemeClr val="accent1">
                  <a:tint val="54000"/>
                </a:schemeClr>
              </a:solidFill>
              <a:ln w="19050">
                <a:solidFill>
                  <a:schemeClr val="lt1"/>
                </a:solidFill>
              </a:ln>
              <a:effectLst/>
            </c:spPr>
            <c:extLst>
              <c:ext xmlns:c16="http://schemas.microsoft.com/office/drawing/2014/chart" uri="{C3380CC4-5D6E-409C-BE32-E72D297353CC}">
                <c16:uniqueId val="{00000001-07AA-4853-9282-DA7D67CA9BAD}"/>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07AA-4853-9282-DA7D67CA9BAD}"/>
              </c:ext>
            </c:extLst>
          </c:dPt>
          <c:dPt>
            <c:idx val="2"/>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5-07AA-4853-9282-DA7D67CA9BAD}"/>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07AA-4853-9282-DA7D67CA9BAD}"/>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5C0A-4F7C-B112-2034FCC38714}"/>
              </c:ext>
            </c:extLst>
          </c:dPt>
          <c:dPt>
            <c:idx val="5"/>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B-92D5-4F6A-86CD-5E7C71AF1A5B}"/>
              </c:ext>
            </c:extLst>
          </c:dPt>
          <c:dPt>
            <c:idx val="6"/>
            <c:bubble3D val="0"/>
            <c:spPr>
              <a:solidFill>
                <a:schemeClr val="accent1">
                  <a:shade val="61000"/>
                </a:schemeClr>
              </a:solidFill>
              <a:ln w="19050">
                <a:solidFill>
                  <a:schemeClr val="lt1"/>
                </a:solidFill>
              </a:ln>
              <a:effectLst/>
            </c:spPr>
            <c:extLst>
              <c:ext xmlns:c16="http://schemas.microsoft.com/office/drawing/2014/chart" uri="{C3380CC4-5D6E-409C-BE32-E72D297353CC}">
                <c16:uniqueId val="{0000000D-92D5-4F6A-86CD-5E7C71AF1A5B}"/>
              </c:ext>
            </c:extLst>
          </c:dPt>
          <c:dPt>
            <c:idx val="7"/>
            <c:bubble3D val="0"/>
            <c:spPr>
              <a:solidFill>
                <a:schemeClr val="accent1">
                  <a:shade val="45000"/>
                </a:schemeClr>
              </a:solidFill>
              <a:ln w="19050">
                <a:solidFill>
                  <a:schemeClr val="lt1"/>
                </a:solidFill>
              </a:ln>
              <a:effectLst/>
            </c:spPr>
            <c:extLst>
              <c:ext xmlns:c16="http://schemas.microsoft.com/office/drawing/2014/chart" uri="{C3380CC4-5D6E-409C-BE32-E72D297353CC}">
                <c16:uniqueId val="{0000000F-92D5-4F6A-86CD-5E7C71AF1A5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Dashboard!$C$8:$C$15</c:f>
              <c:strCache>
                <c:ptCount val="8"/>
                <c:pt idx="0">
                  <c:v>VOO</c:v>
                </c:pt>
                <c:pt idx="1">
                  <c:v>TSM</c:v>
                </c:pt>
                <c:pt idx="2">
                  <c:v>TGT</c:v>
                </c:pt>
                <c:pt idx="3">
                  <c:v>NVDA</c:v>
                </c:pt>
                <c:pt idx="4">
                  <c:v>DELL</c:v>
                </c:pt>
                <c:pt idx="5">
                  <c:v>WMT</c:v>
                </c:pt>
                <c:pt idx="6">
                  <c:v>WBA</c:v>
                </c:pt>
                <c:pt idx="7">
                  <c:v>GOOGL</c:v>
                </c:pt>
              </c:strCache>
            </c:strRef>
          </c:cat>
          <c:val>
            <c:numRef>
              <c:f>Dashboard!$H$8:$H$15</c:f>
              <c:numCache>
                <c:formatCode>0.00%</c:formatCode>
                <c:ptCount val="8"/>
                <c:pt idx="0">
                  <c:v>0.37291659561825424</c:v>
                </c:pt>
                <c:pt idx="1">
                  <c:v>0.12124568146072841</c:v>
                </c:pt>
                <c:pt idx="2">
                  <c:v>7.098097675141804E-2</c:v>
                </c:pt>
                <c:pt idx="3">
                  <c:v>8.6471939104333387E-2</c:v>
                </c:pt>
                <c:pt idx="4">
                  <c:v>6.5925219883998923E-2</c:v>
                </c:pt>
                <c:pt idx="5">
                  <c:v>7.243758962937874E-2</c:v>
                </c:pt>
                <c:pt idx="6">
                  <c:v>8.3620368919965892E-3</c:v>
                </c:pt>
                <c:pt idx="7">
                  <c:v>0.12046727986986054</c:v>
                </c:pt>
              </c:numCache>
            </c:numRef>
          </c:val>
          <c:extLst>
            <c:ext xmlns:c16="http://schemas.microsoft.com/office/drawing/2014/chart" uri="{C3380CC4-5D6E-409C-BE32-E72D297353CC}">
              <c16:uniqueId val="{00000000-5955-47B8-98D5-1CAB690C3B2C}"/>
            </c:ext>
          </c:extLst>
        </c:ser>
        <c:dLbls>
          <c:dLblPos val="inEnd"/>
          <c:showLegendKey val="0"/>
          <c:showVal val="0"/>
          <c:showCatName val="1"/>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col"/>
        <c:grouping val="clustered"/>
        <c:varyColors val="1"/>
        <c:ser>
          <c:idx val="0"/>
          <c:order val="0"/>
          <c:invertIfNegative val="0"/>
          <c:dPt>
            <c:idx val="0"/>
            <c:invertIfNegative val="0"/>
            <c:bubble3D val="0"/>
            <c:spPr>
              <a:solidFill>
                <a:schemeClr val="accent1">
                  <a:tint val="54000"/>
                  <a:alpha val="70000"/>
                </a:schemeClr>
              </a:solidFill>
              <a:ln>
                <a:noFill/>
              </a:ln>
              <a:effectLst/>
            </c:spPr>
            <c:extLst>
              <c:ext xmlns:c16="http://schemas.microsoft.com/office/drawing/2014/chart" uri="{C3380CC4-5D6E-409C-BE32-E72D297353CC}">
                <c16:uniqueId val="{00000000-5994-464B-A8FC-33A50D243E5B}"/>
              </c:ext>
            </c:extLst>
          </c:dPt>
          <c:dPt>
            <c:idx val="1"/>
            <c:invertIfNegative val="0"/>
            <c:bubble3D val="0"/>
            <c:spPr>
              <a:solidFill>
                <a:schemeClr val="accent1">
                  <a:tint val="77000"/>
                  <a:alpha val="70000"/>
                </a:schemeClr>
              </a:solidFill>
              <a:ln>
                <a:noFill/>
              </a:ln>
              <a:effectLst/>
            </c:spPr>
            <c:extLst>
              <c:ext xmlns:c16="http://schemas.microsoft.com/office/drawing/2014/chart" uri="{C3380CC4-5D6E-409C-BE32-E72D297353CC}">
                <c16:uniqueId val="{00000001-5994-464B-A8FC-33A50D243E5B}"/>
              </c:ext>
            </c:extLst>
          </c:dPt>
          <c:dPt>
            <c:idx val="2"/>
            <c:invertIfNegative val="0"/>
            <c:bubble3D val="0"/>
            <c:spPr>
              <a:solidFill>
                <a:schemeClr val="accent1">
                  <a:tint val="77000"/>
                  <a:alpha val="70000"/>
                </a:schemeClr>
              </a:solidFill>
              <a:ln>
                <a:noFill/>
              </a:ln>
              <a:effectLst/>
            </c:spPr>
            <c:extLst>
              <c:ext xmlns:c16="http://schemas.microsoft.com/office/drawing/2014/chart" uri="{C3380CC4-5D6E-409C-BE32-E72D297353CC}">
                <c16:uniqueId val="{00000005-181D-498B-8574-437EF245459D}"/>
              </c:ext>
            </c:extLst>
          </c:dPt>
          <c:dPt>
            <c:idx val="3"/>
            <c:invertIfNegative val="0"/>
            <c:bubble3D val="0"/>
            <c:spPr>
              <a:solidFill>
                <a:schemeClr val="accent1">
                  <a:shade val="76000"/>
                  <a:alpha val="70000"/>
                </a:schemeClr>
              </a:solidFill>
              <a:ln>
                <a:noFill/>
              </a:ln>
              <a:effectLst/>
            </c:spPr>
            <c:extLst>
              <c:ext xmlns:c16="http://schemas.microsoft.com/office/drawing/2014/chart" uri="{C3380CC4-5D6E-409C-BE32-E72D297353CC}">
                <c16:uniqueId val="{00000007-181D-498B-8574-437EF245459D}"/>
              </c:ext>
            </c:extLst>
          </c:dPt>
          <c:dPt>
            <c:idx val="4"/>
            <c:invertIfNegative val="0"/>
            <c:bubble3D val="0"/>
            <c:spPr>
              <a:solidFill>
                <a:schemeClr val="accent1">
                  <a:shade val="53000"/>
                  <a:alpha val="70000"/>
                </a:schemeClr>
              </a:solidFill>
              <a:ln>
                <a:noFill/>
              </a:ln>
              <a:effectLst/>
            </c:spPr>
            <c:extLst>
              <c:ext xmlns:c16="http://schemas.microsoft.com/office/drawing/2014/chart" uri="{C3380CC4-5D6E-409C-BE32-E72D297353CC}">
                <c16:uniqueId val="{00000009-9D5C-468A-9ADC-64694E4C3DE6}"/>
              </c:ext>
            </c:extLst>
          </c:dPt>
          <c:dPt>
            <c:idx val="5"/>
            <c:invertIfNegative val="0"/>
            <c:bubble3D val="0"/>
            <c:spPr>
              <a:solidFill>
                <a:schemeClr val="accent1">
                  <a:shade val="76000"/>
                  <a:alpha val="70000"/>
                </a:schemeClr>
              </a:solidFill>
              <a:ln>
                <a:noFill/>
              </a:ln>
              <a:effectLst/>
            </c:spPr>
            <c:extLst>
              <c:ext xmlns:c16="http://schemas.microsoft.com/office/drawing/2014/chart" uri="{C3380CC4-5D6E-409C-BE32-E72D297353CC}">
                <c16:uniqueId val="{0000000B-E11D-4595-94E2-AED64A7C35FD}"/>
              </c:ext>
            </c:extLst>
          </c:dPt>
          <c:dPt>
            <c:idx val="6"/>
            <c:invertIfNegative val="0"/>
            <c:bubble3D val="0"/>
            <c:spPr>
              <a:solidFill>
                <a:schemeClr val="accent1">
                  <a:shade val="61000"/>
                  <a:alpha val="70000"/>
                </a:schemeClr>
              </a:solidFill>
              <a:ln>
                <a:noFill/>
              </a:ln>
              <a:effectLst/>
            </c:spPr>
            <c:extLst>
              <c:ext xmlns:c16="http://schemas.microsoft.com/office/drawing/2014/chart" uri="{C3380CC4-5D6E-409C-BE32-E72D297353CC}">
                <c16:uniqueId val="{0000000D-E11D-4595-94E2-AED64A7C35FD}"/>
              </c:ext>
            </c:extLst>
          </c:dPt>
          <c:dPt>
            <c:idx val="7"/>
            <c:invertIfNegative val="0"/>
            <c:bubble3D val="0"/>
            <c:spPr>
              <a:solidFill>
                <a:schemeClr val="accent1">
                  <a:shade val="45000"/>
                  <a:alpha val="70000"/>
                </a:schemeClr>
              </a:solidFill>
              <a:ln>
                <a:noFill/>
              </a:ln>
              <a:effectLst/>
            </c:spPr>
            <c:extLst>
              <c:ext xmlns:c16="http://schemas.microsoft.com/office/drawing/2014/chart" uri="{C3380CC4-5D6E-409C-BE32-E72D297353CC}">
                <c16:uniqueId val="{0000000F-E11D-4595-94E2-AED64A7C35FD}"/>
              </c:ext>
            </c:extLst>
          </c:dPt>
          <c:cat>
            <c:strRef>
              <c:f>Dashboard!$C$8:$C$15</c:f>
              <c:strCache>
                <c:ptCount val="8"/>
                <c:pt idx="0">
                  <c:v>VOO</c:v>
                </c:pt>
                <c:pt idx="1">
                  <c:v>TSM</c:v>
                </c:pt>
                <c:pt idx="2">
                  <c:v>TGT</c:v>
                </c:pt>
                <c:pt idx="3">
                  <c:v>NVDA</c:v>
                </c:pt>
                <c:pt idx="4">
                  <c:v>DELL</c:v>
                </c:pt>
                <c:pt idx="5">
                  <c:v>WMT</c:v>
                </c:pt>
                <c:pt idx="6">
                  <c:v>WBA</c:v>
                </c:pt>
                <c:pt idx="7">
                  <c:v>GOOGL</c:v>
                </c:pt>
              </c:strCache>
            </c:strRef>
          </c:cat>
          <c:val>
            <c:numRef>
              <c:f>Dashboard!$J$8:$J$15</c:f>
              <c:numCache>
                <c:formatCode>"$"#,##0.00</c:formatCode>
                <c:ptCount val="8"/>
                <c:pt idx="0">
                  <c:v>-19.479049999999916</c:v>
                </c:pt>
                <c:pt idx="1">
                  <c:v>-23.210000000000008</c:v>
                </c:pt>
                <c:pt idx="2">
                  <c:v>-32.14</c:v>
                </c:pt>
                <c:pt idx="3">
                  <c:v>-5.5699999999999932</c:v>
                </c:pt>
                <c:pt idx="4">
                  <c:v>-28.189999999999998</c:v>
                </c:pt>
                <c:pt idx="5">
                  <c:v>-0.75</c:v>
                </c:pt>
                <c:pt idx="6">
                  <c:v>0.16999999999999993</c:v>
                </c:pt>
                <c:pt idx="7">
                  <c:v>-2.9099999999999966</c:v>
                </c:pt>
              </c:numCache>
            </c:numRef>
          </c:val>
          <c:extLst>
            <c:ext xmlns:c16="http://schemas.microsoft.com/office/drawing/2014/chart" uri="{C3380CC4-5D6E-409C-BE32-E72D297353CC}">
              <c16:uniqueId val="{00000000-B3CB-4181-9A3A-E0E73AD2E52E}"/>
            </c:ext>
          </c:extLst>
        </c:ser>
        <c:dLbls>
          <c:showLegendKey val="0"/>
          <c:showVal val="0"/>
          <c:showCatName val="0"/>
          <c:showSerName val="0"/>
          <c:showPercent val="0"/>
          <c:showBubbleSize val="0"/>
        </c:dLbls>
        <c:gapWidth val="80"/>
        <c:overlap val="25"/>
        <c:axId val="201053775"/>
        <c:axId val="201052335"/>
      </c:barChart>
      <c:catAx>
        <c:axId val="201053775"/>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201052335"/>
        <c:crosses val="autoZero"/>
        <c:auto val="1"/>
        <c:lblAlgn val="ctr"/>
        <c:lblOffset val="100"/>
        <c:noMultiLvlLbl val="0"/>
      </c:catAx>
      <c:valAx>
        <c:axId val="201052335"/>
        <c:scaling>
          <c:orientation val="minMax"/>
        </c:scaling>
        <c:delete val="0"/>
        <c:axPos val="l"/>
        <c:majorGridlines>
          <c:spPr>
            <a:ln w="9525" cap="flat" cmpd="sng" algn="ctr">
              <a:solidFill>
                <a:schemeClr val="tx1">
                  <a:lumMod val="5000"/>
                  <a:lumOff val="9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201053775"/>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cat>
            <c:numRef>
              <c:f>Analysis!$B$9:$B$131</c:f>
              <c:numCache>
                <c:formatCode>m/d/yyyy</c:formatCode>
                <c:ptCount val="123"/>
                <c:pt idx="0">
                  <c:v>45580</c:v>
                </c:pt>
                <c:pt idx="1">
                  <c:v>45581</c:v>
                </c:pt>
                <c:pt idx="2">
                  <c:v>45582</c:v>
                </c:pt>
                <c:pt idx="3">
                  <c:v>45583</c:v>
                </c:pt>
                <c:pt idx="4">
                  <c:v>45586</c:v>
                </c:pt>
                <c:pt idx="5">
                  <c:v>45587</c:v>
                </c:pt>
                <c:pt idx="6">
                  <c:v>45588</c:v>
                </c:pt>
                <c:pt idx="7">
                  <c:v>45589</c:v>
                </c:pt>
                <c:pt idx="8">
                  <c:v>45590</c:v>
                </c:pt>
                <c:pt idx="9">
                  <c:v>45593</c:v>
                </c:pt>
                <c:pt idx="10">
                  <c:v>45594</c:v>
                </c:pt>
                <c:pt idx="11">
                  <c:v>45595</c:v>
                </c:pt>
                <c:pt idx="12">
                  <c:v>45596</c:v>
                </c:pt>
                <c:pt idx="13">
                  <c:v>45597</c:v>
                </c:pt>
                <c:pt idx="14">
                  <c:v>45600</c:v>
                </c:pt>
                <c:pt idx="15">
                  <c:v>45601</c:v>
                </c:pt>
                <c:pt idx="16">
                  <c:v>45602</c:v>
                </c:pt>
                <c:pt idx="17">
                  <c:v>45603</c:v>
                </c:pt>
                <c:pt idx="18">
                  <c:v>45604</c:v>
                </c:pt>
                <c:pt idx="19">
                  <c:v>45607</c:v>
                </c:pt>
                <c:pt idx="20">
                  <c:v>45608</c:v>
                </c:pt>
                <c:pt idx="21">
                  <c:v>45609</c:v>
                </c:pt>
                <c:pt idx="22">
                  <c:v>45610</c:v>
                </c:pt>
                <c:pt idx="23">
                  <c:v>45611</c:v>
                </c:pt>
                <c:pt idx="24">
                  <c:v>45614</c:v>
                </c:pt>
                <c:pt idx="25">
                  <c:v>45615</c:v>
                </c:pt>
                <c:pt idx="26">
                  <c:v>45616</c:v>
                </c:pt>
                <c:pt idx="27">
                  <c:v>45617</c:v>
                </c:pt>
                <c:pt idx="28">
                  <c:v>45618</c:v>
                </c:pt>
                <c:pt idx="29">
                  <c:v>45621</c:v>
                </c:pt>
                <c:pt idx="30">
                  <c:v>45622</c:v>
                </c:pt>
                <c:pt idx="31">
                  <c:v>45623</c:v>
                </c:pt>
                <c:pt idx="32">
                  <c:v>45625</c:v>
                </c:pt>
                <c:pt idx="33">
                  <c:v>45628</c:v>
                </c:pt>
                <c:pt idx="34">
                  <c:v>45629</c:v>
                </c:pt>
                <c:pt idx="35">
                  <c:v>45630</c:v>
                </c:pt>
                <c:pt idx="36">
                  <c:v>45631</c:v>
                </c:pt>
                <c:pt idx="37">
                  <c:v>45632</c:v>
                </c:pt>
                <c:pt idx="38">
                  <c:v>45635</c:v>
                </c:pt>
                <c:pt idx="39">
                  <c:v>45636</c:v>
                </c:pt>
                <c:pt idx="40">
                  <c:v>45637</c:v>
                </c:pt>
                <c:pt idx="41">
                  <c:v>45638</c:v>
                </c:pt>
                <c:pt idx="42">
                  <c:v>45639</c:v>
                </c:pt>
                <c:pt idx="43">
                  <c:v>45642</c:v>
                </c:pt>
                <c:pt idx="44">
                  <c:v>45643</c:v>
                </c:pt>
                <c:pt idx="45">
                  <c:v>45644</c:v>
                </c:pt>
                <c:pt idx="46">
                  <c:v>45645</c:v>
                </c:pt>
                <c:pt idx="47">
                  <c:v>45646</c:v>
                </c:pt>
                <c:pt idx="48">
                  <c:v>45649</c:v>
                </c:pt>
                <c:pt idx="49">
                  <c:v>45650</c:v>
                </c:pt>
                <c:pt idx="50">
                  <c:v>45652</c:v>
                </c:pt>
                <c:pt idx="51">
                  <c:v>45653</c:v>
                </c:pt>
                <c:pt idx="52">
                  <c:v>45656</c:v>
                </c:pt>
                <c:pt idx="53">
                  <c:v>45657</c:v>
                </c:pt>
                <c:pt idx="54">
                  <c:v>45659</c:v>
                </c:pt>
                <c:pt idx="55">
                  <c:v>45660</c:v>
                </c:pt>
                <c:pt idx="56">
                  <c:v>45663</c:v>
                </c:pt>
                <c:pt idx="57">
                  <c:v>45664</c:v>
                </c:pt>
                <c:pt idx="58">
                  <c:v>45665</c:v>
                </c:pt>
                <c:pt idx="59">
                  <c:v>45667</c:v>
                </c:pt>
                <c:pt idx="60">
                  <c:v>45670</c:v>
                </c:pt>
                <c:pt idx="61">
                  <c:v>45671</c:v>
                </c:pt>
                <c:pt idx="62">
                  <c:v>45672</c:v>
                </c:pt>
                <c:pt idx="63">
                  <c:v>45673</c:v>
                </c:pt>
                <c:pt idx="64">
                  <c:v>45674</c:v>
                </c:pt>
                <c:pt idx="65">
                  <c:v>45678</c:v>
                </c:pt>
                <c:pt idx="66">
                  <c:v>45679</c:v>
                </c:pt>
                <c:pt idx="67">
                  <c:v>45680</c:v>
                </c:pt>
                <c:pt idx="68">
                  <c:v>45681</c:v>
                </c:pt>
                <c:pt idx="69">
                  <c:v>45684</c:v>
                </c:pt>
                <c:pt idx="70">
                  <c:v>45685</c:v>
                </c:pt>
                <c:pt idx="71">
                  <c:v>45686</c:v>
                </c:pt>
                <c:pt idx="72">
                  <c:v>45687</c:v>
                </c:pt>
                <c:pt idx="73">
                  <c:v>45688</c:v>
                </c:pt>
                <c:pt idx="74">
                  <c:v>45691</c:v>
                </c:pt>
                <c:pt idx="75">
                  <c:v>45692</c:v>
                </c:pt>
                <c:pt idx="76">
                  <c:v>45693</c:v>
                </c:pt>
                <c:pt idx="77">
                  <c:v>45694</c:v>
                </c:pt>
                <c:pt idx="78">
                  <c:v>45695</c:v>
                </c:pt>
                <c:pt idx="79">
                  <c:v>45698</c:v>
                </c:pt>
                <c:pt idx="80">
                  <c:v>45699</c:v>
                </c:pt>
                <c:pt idx="81">
                  <c:v>45700</c:v>
                </c:pt>
                <c:pt idx="82">
                  <c:v>45701</c:v>
                </c:pt>
                <c:pt idx="83">
                  <c:v>45702</c:v>
                </c:pt>
                <c:pt idx="84">
                  <c:v>45706</c:v>
                </c:pt>
                <c:pt idx="85">
                  <c:v>45707</c:v>
                </c:pt>
                <c:pt idx="86">
                  <c:v>45708</c:v>
                </c:pt>
                <c:pt idx="87">
                  <c:v>45709</c:v>
                </c:pt>
                <c:pt idx="88">
                  <c:v>45712</c:v>
                </c:pt>
                <c:pt idx="89">
                  <c:v>45713</c:v>
                </c:pt>
                <c:pt idx="90">
                  <c:v>45714</c:v>
                </c:pt>
                <c:pt idx="91">
                  <c:v>45715</c:v>
                </c:pt>
                <c:pt idx="92">
                  <c:v>45716</c:v>
                </c:pt>
                <c:pt idx="93">
                  <c:v>45719</c:v>
                </c:pt>
                <c:pt idx="94">
                  <c:v>45720</c:v>
                </c:pt>
                <c:pt idx="95">
                  <c:v>45721</c:v>
                </c:pt>
                <c:pt idx="96">
                  <c:v>45722</c:v>
                </c:pt>
                <c:pt idx="97">
                  <c:v>45723</c:v>
                </c:pt>
                <c:pt idx="98">
                  <c:v>45726</c:v>
                </c:pt>
                <c:pt idx="99">
                  <c:v>45727</c:v>
                </c:pt>
                <c:pt idx="100">
                  <c:v>45728</c:v>
                </c:pt>
                <c:pt idx="101">
                  <c:v>45729</c:v>
                </c:pt>
                <c:pt idx="102">
                  <c:v>45730</c:v>
                </c:pt>
                <c:pt idx="103">
                  <c:v>45733</c:v>
                </c:pt>
                <c:pt idx="104">
                  <c:v>45734</c:v>
                </c:pt>
                <c:pt idx="105">
                  <c:v>45735</c:v>
                </c:pt>
                <c:pt idx="106">
                  <c:v>45736</c:v>
                </c:pt>
                <c:pt idx="107">
                  <c:v>45737</c:v>
                </c:pt>
                <c:pt idx="108">
                  <c:v>45740</c:v>
                </c:pt>
                <c:pt idx="109">
                  <c:v>45741</c:v>
                </c:pt>
                <c:pt idx="110">
                  <c:v>45742</c:v>
                </c:pt>
                <c:pt idx="111">
                  <c:v>45743</c:v>
                </c:pt>
                <c:pt idx="112">
                  <c:v>45744</c:v>
                </c:pt>
                <c:pt idx="113">
                  <c:v>45747</c:v>
                </c:pt>
                <c:pt idx="114">
                  <c:v>45748</c:v>
                </c:pt>
                <c:pt idx="115">
                  <c:v>45749</c:v>
                </c:pt>
                <c:pt idx="116">
                  <c:v>45750</c:v>
                </c:pt>
                <c:pt idx="117">
                  <c:v>45751</c:v>
                </c:pt>
                <c:pt idx="118">
                  <c:v>45754</c:v>
                </c:pt>
                <c:pt idx="119">
                  <c:v>45755</c:v>
                </c:pt>
                <c:pt idx="120">
                  <c:v>45756</c:v>
                </c:pt>
                <c:pt idx="121">
                  <c:v>45757</c:v>
                </c:pt>
                <c:pt idx="122">
                  <c:v>45758</c:v>
                </c:pt>
              </c:numCache>
            </c:numRef>
          </c:cat>
          <c:val>
            <c:numRef>
              <c:f>Analysis!$C$9:$C$131</c:f>
              <c:numCache>
                <c:formatCode>_([$$-409]* #,##0.00_);_([$$-409]* \(#,##0.00\);_([$$-409]* "-"??_);_(@_)</c:formatCode>
                <c:ptCount val="123"/>
                <c:pt idx="0">
                  <c:v>81.650000000000006</c:v>
                </c:pt>
                <c:pt idx="1">
                  <c:v>81.22</c:v>
                </c:pt>
                <c:pt idx="2">
                  <c:v>80.89</c:v>
                </c:pt>
                <c:pt idx="3">
                  <c:v>81.31</c:v>
                </c:pt>
                <c:pt idx="4">
                  <c:v>80.81</c:v>
                </c:pt>
                <c:pt idx="5">
                  <c:v>82.02</c:v>
                </c:pt>
                <c:pt idx="6">
                  <c:v>83.27</c:v>
                </c:pt>
                <c:pt idx="7">
                  <c:v>83.04</c:v>
                </c:pt>
                <c:pt idx="8">
                  <c:v>82.51</c:v>
                </c:pt>
                <c:pt idx="9">
                  <c:v>82.75</c:v>
                </c:pt>
                <c:pt idx="10">
                  <c:v>81.7</c:v>
                </c:pt>
                <c:pt idx="11">
                  <c:v>81.39</c:v>
                </c:pt>
                <c:pt idx="12">
                  <c:v>81.95</c:v>
                </c:pt>
                <c:pt idx="13">
                  <c:v>82.19</c:v>
                </c:pt>
                <c:pt idx="14">
                  <c:v>82.45</c:v>
                </c:pt>
                <c:pt idx="15">
                  <c:v>83.68</c:v>
                </c:pt>
                <c:pt idx="16">
                  <c:v>83.44</c:v>
                </c:pt>
                <c:pt idx="17">
                  <c:v>83.85</c:v>
                </c:pt>
                <c:pt idx="18">
                  <c:v>84.83</c:v>
                </c:pt>
                <c:pt idx="19">
                  <c:v>84.21</c:v>
                </c:pt>
                <c:pt idx="20">
                  <c:v>84.99</c:v>
                </c:pt>
                <c:pt idx="21">
                  <c:v>85.5</c:v>
                </c:pt>
                <c:pt idx="22">
                  <c:v>84.47</c:v>
                </c:pt>
                <c:pt idx="23">
                  <c:v>84.25</c:v>
                </c:pt>
                <c:pt idx="24">
                  <c:v>84.08</c:v>
                </c:pt>
                <c:pt idx="25">
                  <c:v>86.6</c:v>
                </c:pt>
                <c:pt idx="26">
                  <c:v>87.18</c:v>
                </c:pt>
                <c:pt idx="27">
                  <c:v>88.39</c:v>
                </c:pt>
                <c:pt idx="28">
                  <c:v>90.44</c:v>
                </c:pt>
                <c:pt idx="29">
                  <c:v>89.5</c:v>
                </c:pt>
                <c:pt idx="30">
                  <c:v>91.31</c:v>
                </c:pt>
                <c:pt idx="31">
                  <c:v>91.88</c:v>
                </c:pt>
                <c:pt idx="32">
                  <c:v>92.5</c:v>
                </c:pt>
                <c:pt idx="33">
                  <c:v>92.64</c:v>
                </c:pt>
                <c:pt idx="34">
                  <c:v>93.51</c:v>
                </c:pt>
                <c:pt idx="35">
                  <c:v>94.45</c:v>
                </c:pt>
                <c:pt idx="36">
                  <c:v>95.3</c:v>
                </c:pt>
                <c:pt idx="37">
                  <c:v>95.7</c:v>
                </c:pt>
                <c:pt idx="38">
                  <c:v>93.83</c:v>
                </c:pt>
                <c:pt idx="39">
                  <c:v>94.55</c:v>
                </c:pt>
                <c:pt idx="40">
                  <c:v>94.96</c:v>
                </c:pt>
                <c:pt idx="41">
                  <c:v>94.09</c:v>
                </c:pt>
                <c:pt idx="42">
                  <c:v>94.25</c:v>
                </c:pt>
                <c:pt idx="43">
                  <c:v>94.87</c:v>
                </c:pt>
                <c:pt idx="44">
                  <c:v>95.42</c:v>
                </c:pt>
                <c:pt idx="45">
                  <c:v>93.55</c:v>
                </c:pt>
                <c:pt idx="46">
                  <c:v>93.4</c:v>
                </c:pt>
                <c:pt idx="47">
                  <c:v>92.24</c:v>
                </c:pt>
                <c:pt idx="48">
                  <c:v>90.35</c:v>
                </c:pt>
                <c:pt idx="49">
                  <c:v>92.68</c:v>
                </c:pt>
                <c:pt idx="50">
                  <c:v>92.79</c:v>
                </c:pt>
                <c:pt idx="51">
                  <c:v>91.66</c:v>
                </c:pt>
                <c:pt idx="52">
                  <c:v>90.57</c:v>
                </c:pt>
                <c:pt idx="53">
                  <c:v>90.35</c:v>
                </c:pt>
                <c:pt idx="54">
                  <c:v>90</c:v>
                </c:pt>
                <c:pt idx="55">
                  <c:v>90.78</c:v>
                </c:pt>
                <c:pt idx="56">
                  <c:v>91.43</c:v>
                </c:pt>
                <c:pt idx="57">
                  <c:v>90.81</c:v>
                </c:pt>
                <c:pt idx="58">
                  <c:v>91.8</c:v>
                </c:pt>
                <c:pt idx="59">
                  <c:v>93</c:v>
                </c:pt>
                <c:pt idx="60">
                  <c:v>91.53</c:v>
                </c:pt>
                <c:pt idx="61">
                  <c:v>90.79</c:v>
                </c:pt>
                <c:pt idx="62">
                  <c:v>91.34</c:v>
                </c:pt>
                <c:pt idx="63">
                  <c:v>91.3</c:v>
                </c:pt>
                <c:pt idx="64">
                  <c:v>91.94</c:v>
                </c:pt>
                <c:pt idx="65">
                  <c:v>93.08</c:v>
                </c:pt>
                <c:pt idx="66">
                  <c:v>93.23</c:v>
                </c:pt>
                <c:pt idx="67">
                  <c:v>93.81</c:v>
                </c:pt>
                <c:pt idx="68">
                  <c:v>94.76</c:v>
                </c:pt>
                <c:pt idx="69">
                  <c:v>97.4</c:v>
                </c:pt>
                <c:pt idx="70">
                  <c:v>97.29</c:v>
                </c:pt>
                <c:pt idx="71">
                  <c:v>97.5</c:v>
                </c:pt>
                <c:pt idx="72">
                  <c:v>98.65</c:v>
                </c:pt>
                <c:pt idx="73">
                  <c:v>98.16</c:v>
                </c:pt>
                <c:pt idx="74">
                  <c:v>99.54</c:v>
                </c:pt>
                <c:pt idx="75">
                  <c:v>100.77</c:v>
                </c:pt>
                <c:pt idx="76">
                  <c:v>102.46</c:v>
                </c:pt>
                <c:pt idx="77">
                  <c:v>102.85</c:v>
                </c:pt>
                <c:pt idx="78">
                  <c:v>101.15</c:v>
                </c:pt>
                <c:pt idx="79">
                  <c:v>102.92</c:v>
                </c:pt>
                <c:pt idx="80">
                  <c:v>102.47</c:v>
                </c:pt>
                <c:pt idx="81">
                  <c:v>103.61</c:v>
                </c:pt>
                <c:pt idx="82">
                  <c:v>105.05</c:v>
                </c:pt>
                <c:pt idx="83">
                  <c:v>104.04</c:v>
                </c:pt>
                <c:pt idx="84">
                  <c:v>103.78</c:v>
                </c:pt>
                <c:pt idx="85">
                  <c:v>104</c:v>
                </c:pt>
                <c:pt idx="86">
                  <c:v>97.21</c:v>
                </c:pt>
                <c:pt idx="87">
                  <c:v>94.78</c:v>
                </c:pt>
                <c:pt idx="88">
                  <c:v>93.67</c:v>
                </c:pt>
                <c:pt idx="89">
                  <c:v>97.69</c:v>
                </c:pt>
                <c:pt idx="90">
                  <c:v>96.2</c:v>
                </c:pt>
                <c:pt idx="91">
                  <c:v>96.79</c:v>
                </c:pt>
                <c:pt idx="92">
                  <c:v>98.61</c:v>
                </c:pt>
                <c:pt idx="93">
                  <c:v>97.59</c:v>
                </c:pt>
                <c:pt idx="94">
                  <c:v>94.97</c:v>
                </c:pt>
                <c:pt idx="95">
                  <c:v>95.98</c:v>
                </c:pt>
                <c:pt idx="96">
                  <c:v>94.64</c:v>
                </c:pt>
                <c:pt idx="97">
                  <c:v>91.72</c:v>
                </c:pt>
                <c:pt idx="98">
                  <c:v>87.82</c:v>
                </c:pt>
                <c:pt idx="99">
                  <c:v>87.44</c:v>
                </c:pt>
                <c:pt idx="100">
                  <c:v>85.2</c:v>
                </c:pt>
                <c:pt idx="101">
                  <c:v>84.5</c:v>
                </c:pt>
                <c:pt idx="102">
                  <c:v>85.35</c:v>
                </c:pt>
                <c:pt idx="103">
                  <c:v>87.46</c:v>
                </c:pt>
                <c:pt idx="104">
                  <c:v>85.59</c:v>
                </c:pt>
                <c:pt idx="105">
                  <c:v>86.33</c:v>
                </c:pt>
                <c:pt idx="106">
                  <c:v>85.81</c:v>
                </c:pt>
                <c:pt idx="107">
                  <c:v>85.98</c:v>
                </c:pt>
                <c:pt idx="108">
                  <c:v>87.49</c:v>
                </c:pt>
                <c:pt idx="109">
                  <c:v>84.76</c:v>
                </c:pt>
                <c:pt idx="110">
                  <c:v>85.21</c:v>
                </c:pt>
                <c:pt idx="111">
                  <c:v>85.63</c:v>
                </c:pt>
                <c:pt idx="112">
                  <c:v>85.15</c:v>
                </c:pt>
                <c:pt idx="113">
                  <c:v>87.79</c:v>
                </c:pt>
                <c:pt idx="114">
                  <c:v>88.83</c:v>
                </c:pt>
                <c:pt idx="115">
                  <c:v>89.76</c:v>
                </c:pt>
                <c:pt idx="116">
                  <c:v>87.26</c:v>
                </c:pt>
                <c:pt idx="117">
                  <c:v>83.19</c:v>
                </c:pt>
                <c:pt idx="118">
                  <c:v>83.83</c:v>
                </c:pt>
                <c:pt idx="119">
                  <c:v>81.790000000000006</c:v>
                </c:pt>
                <c:pt idx="120">
                  <c:v>89.6</c:v>
                </c:pt>
                <c:pt idx="121">
                  <c:v>90.61</c:v>
                </c:pt>
                <c:pt idx="122">
                  <c:v>92.8</c:v>
                </c:pt>
              </c:numCache>
            </c:numRef>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0-7A07-4A88-AC35-3C2C28434CFA}"/>
            </c:ext>
          </c:extLst>
        </c:ser>
        <c:ser>
          <c:idx val="1"/>
          <c:order val="1"/>
          <c:spPr>
            <a:ln w="28575" cap="rnd">
              <a:solidFill>
                <a:schemeClr val="accent2"/>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3A-7A07-4A88-AC35-3C2C28434CFA}"/>
            </c:ext>
          </c:extLst>
        </c:ser>
        <c:ser>
          <c:idx val="2"/>
          <c:order val="2"/>
          <c:spPr>
            <a:ln w="28575" cap="rnd">
              <a:solidFill>
                <a:schemeClr val="accent3"/>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3C-7A07-4A88-AC35-3C2C28434CFA}"/>
            </c:ext>
          </c:extLst>
        </c:ser>
        <c:ser>
          <c:idx val="3"/>
          <c:order val="3"/>
          <c:spPr>
            <a:ln w="28575" cap="rnd">
              <a:solidFill>
                <a:schemeClr val="accent4"/>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3E-7A07-4A88-AC35-3C2C28434CFA}"/>
            </c:ext>
          </c:extLst>
        </c:ser>
        <c:ser>
          <c:idx val="4"/>
          <c:order val="4"/>
          <c:spPr>
            <a:ln w="28575" cap="rnd">
              <a:solidFill>
                <a:schemeClr val="accent5"/>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40-7A07-4A88-AC35-3C2C28434CFA}"/>
            </c:ext>
          </c:extLst>
        </c:ser>
        <c:ser>
          <c:idx val="5"/>
          <c:order val="5"/>
          <c:spPr>
            <a:ln w="28575" cap="rnd">
              <a:solidFill>
                <a:schemeClr val="accent6"/>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42-7A07-4A88-AC35-3C2C28434CFA}"/>
            </c:ext>
          </c:extLst>
        </c:ser>
        <c:ser>
          <c:idx val="6"/>
          <c:order val="6"/>
          <c:spPr>
            <a:ln w="28575" cap="rnd">
              <a:solidFill>
                <a:schemeClr val="accent1">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44-7A07-4A88-AC35-3C2C28434CFA}"/>
            </c:ext>
          </c:extLst>
        </c:ser>
        <c:ser>
          <c:idx val="7"/>
          <c:order val="7"/>
          <c:spPr>
            <a:ln w="28575" cap="rnd">
              <a:solidFill>
                <a:schemeClr val="accent2">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46-7A07-4A88-AC35-3C2C28434CFA}"/>
            </c:ext>
          </c:extLst>
        </c:ser>
        <c:ser>
          <c:idx val="8"/>
          <c:order val="8"/>
          <c:spPr>
            <a:ln w="28575" cap="rnd">
              <a:solidFill>
                <a:schemeClr val="accent3">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48-7A07-4A88-AC35-3C2C28434CFA}"/>
            </c:ext>
          </c:extLst>
        </c:ser>
        <c:ser>
          <c:idx val="9"/>
          <c:order val="9"/>
          <c:spPr>
            <a:ln w="28575" cap="rnd">
              <a:solidFill>
                <a:schemeClr val="accent4">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4A-7A07-4A88-AC35-3C2C28434CFA}"/>
            </c:ext>
          </c:extLst>
        </c:ser>
        <c:ser>
          <c:idx val="10"/>
          <c:order val="10"/>
          <c:spPr>
            <a:ln w="28575" cap="rnd">
              <a:solidFill>
                <a:schemeClr val="accent5">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4C-7A07-4A88-AC35-3C2C28434CFA}"/>
            </c:ext>
          </c:extLst>
        </c:ser>
        <c:ser>
          <c:idx val="11"/>
          <c:order val="11"/>
          <c:spPr>
            <a:ln w="28575" cap="rnd">
              <a:solidFill>
                <a:schemeClr val="accent6">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4E-7A07-4A88-AC35-3C2C28434CFA}"/>
            </c:ext>
          </c:extLst>
        </c:ser>
        <c:ser>
          <c:idx val="12"/>
          <c:order val="12"/>
          <c:spPr>
            <a:ln w="28575" cap="rnd">
              <a:solidFill>
                <a:schemeClr val="accent1">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50-7A07-4A88-AC35-3C2C28434CFA}"/>
            </c:ext>
          </c:extLst>
        </c:ser>
        <c:ser>
          <c:idx val="13"/>
          <c:order val="13"/>
          <c:spPr>
            <a:ln w="28575" cap="rnd">
              <a:solidFill>
                <a:schemeClr val="accent2">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52-7A07-4A88-AC35-3C2C28434CFA}"/>
            </c:ext>
          </c:extLst>
        </c:ser>
        <c:ser>
          <c:idx val="14"/>
          <c:order val="14"/>
          <c:spPr>
            <a:ln w="28575" cap="rnd">
              <a:solidFill>
                <a:schemeClr val="accent3">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54-7A07-4A88-AC35-3C2C28434CFA}"/>
            </c:ext>
          </c:extLst>
        </c:ser>
        <c:ser>
          <c:idx val="15"/>
          <c:order val="15"/>
          <c:spPr>
            <a:ln w="28575" cap="rnd">
              <a:solidFill>
                <a:schemeClr val="accent4">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56-7A07-4A88-AC35-3C2C28434CFA}"/>
            </c:ext>
          </c:extLst>
        </c:ser>
        <c:ser>
          <c:idx val="16"/>
          <c:order val="16"/>
          <c:spPr>
            <a:ln w="28575" cap="rnd">
              <a:solidFill>
                <a:schemeClr val="accent5">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58-7A07-4A88-AC35-3C2C28434CFA}"/>
            </c:ext>
          </c:extLst>
        </c:ser>
        <c:ser>
          <c:idx val="17"/>
          <c:order val="17"/>
          <c:spPr>
            <a:ln w="28575" cap="rnd">
              <a:solidFill>
                <a:schemeClr val="accent6">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5A-7A07-4A88-AC35-3C2C28434CFA}"/>
            </c:ext>
          </c:extLst>
        </c:ser>
        <c:ser>
          <c:idx val="18"/>
          <c:order val="18"/>
          <c:spPr>
            <a:ln w="28575" cap="rnd">
              <a:solidFill>
                <a:schemeClr val="accent1">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5C-7A07-4A88-AC35-3C2C28434CFA}"/>
            </c:ext>
          </c:extLst>
        </c:ser>
        <c:ser>
          <c:idx val="19"/>
          <c:order val="19"/>
          <c:spPr>
            <a:ln w="28575" cap="rnd">
              <a:solidFill>
                <a:schemeClr val="accent2">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5E-7A07-4A88-AC35-3C2C28434CFA}"/>
            </c:ext>
          </c:extLst>
        </c:ser>
        <c:ser>
          <c:idx val="20"/>
          <c:order val="20"/>
          <c:spPr>
            <a:ln w="28575" cap="rnd">
              <a:solidFill>
                <a:schemeClr val="accent3">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60-7A07-4A88-AC35-3C2C28434CFA}"/>
            </c:ext>
          </c:extLst>
        </c:ser>
        <c:ser>
          <c:idx val="21"/>
          <c:order val="21"/>
          <c:spPr>
            <a:ln w="28575" cap="rnd">
              <a:solidFill>
                <a:schemeClr val="accent4">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62-7A07-4A88-AC35-3C2C28434CFA}"/>
            </c:ext>
          </c:extLst>
        </c:ser>
        <c:ser>
          <c:idx val="22"/>
          <c:order val="22"/>
          <c:spPr>
            <a:ln w="28575" cap="rnd">
              <a:solidFill>
                <a:schemeClr val="accent5">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64-7A07-4A88-AC35-3C2C28434CFA}"/>
            </c:ext>
          </c:extLst>
        </c:ser>
        <c:ser>
          <c:idx val="23"/>
          <c:order val="23"/>
          <c:spPr>
            <a:ln w="28575" cap="rnd">
              <a:solidFill>
                <a:schemeClr val="accent6">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66-7A07-4A88-AC35-3C2C28434CFA}"/>
            </c:ext>
          </c:extLst>
        </c:ser>
        <c:ser>
          <c:idx val="24"/>
          <c:order val="24"/>
          <c:spPr>
            <a:ln w="28575" cap="rnd">
              <a:solidFill>
                <a:schemeClr val="accent1">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68-7A07-4A88-AC35-3C2C28434CFA}"/>
            </c:ext>
          </c:extLst>
        </c:ser>
        <c:ser>
          <c:idx val="25"/>
          <c:order val="25"/>
          <c:spPr>
            <a:ln w="28575" cap="rnd">
              <a:solidFill>
                <a:schemeClr val="accent2">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6A-7A07-4A88-AC35-3C2C28434CFA}"/>
            </c:ext>
          </c:extLst>
        </c:ser>
        <c:ser>
          <c:idx val="26"/>
          <c:order val="26"/>
          <c:spPr>
            <a:ln w="28575" cap="rnd">
              <a:solidFill>
                <a:schemeClr val="accent3">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6C-7A07-4A88-AC35-3C2C28434CFA}"/>
            </c:ext>
          </c:extLst>
        </c:ser>
        <c:ser>
          <c:idx val="27"/>
          <c:order val="27"/>
          <c:spPr>
            <a:ln w="28575" cap="rnd">
              <a:solidFill>
                <a:schemeClr val="accent4">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6E-7A07-4A88-AC35-3C2C28434CFA}"/>
            </c:ext>
          </c:extLst>
        </c:ser>
        <c:ser>
          <c:idx val="28"/>
          <c:order val="28"/>
          <c:spPr>
            <a:ln w="28575" cap="rnd">
              <a:solidFill>
                <a:schemeClr val="accent5">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70-7A07-4A88-AC35-3C2C28434CFA}"/>
            </c:ext>
          </c:extLst>
        </c:ser>
        <c:ser>
          <c:idx val="29"/>
          <c:order val="29"/>
          <c:spPr>
            <a:ln w="28575" cap="rnd">
              <a:solidFill>
                <a:schemeClr val="accent6">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72-7A07-4A88-AC35-3C2C28434CFA}"/>
            </c:ext>
          </c:extLst>
        </c:ser>
        <c:ser>
          <c:idx val="30"/>
          <c:order val="30"/>
          <c:spPr>
            <a:ln w="28575" cap="rnd">
              <a:solidFill>
                <a:schemeClr val="accent1">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74-7A07-4A88-AC35-3C2C28434CFA}"/>
            </c:ext>
          </c:extLst>
        </c:ser>
        <c:ser>
          <c:idx val="31"/>
          <c:order val="31"/>
          <c:spPr>
            <a:ln w="28575" cap="rnd">
              <a:solidFill>
                <a:schemeClr val="accent2">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76-7A07-4A88-AC35-3C2C28434CFA}"/>
            </c:ext>
          </c:extLst>
        </c:ser>
        <c:ser>
          <c:idx val="32"/>
          <c:order val="32"/>
          <c:spPr>
            <a:ln w="28575" cap="rnd">
              <a:solidFill>
                <a:schemeClr val="accent3">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78-7A07-4A88-AC35-3C2C28434CFA}"/>
            </c:ext>
          </c:extLst>
        </c:ser>
        <c:ser>
          <c:idx val="33"/>
          <c:order val="33"/>
          <c:spPr>
            <a:ln w="28575" cap="rnd">
              <a:solidFill>
                <a:schemeClr val="accent4">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7A-7A07-4A88-AC35-3C2C28434CFA}"/>
            </c:ext>
          </c:extLst>
        </c:ser>
        <c:ser>
          <c:idx val="34"/>
          <c:order val="34"/>
          <c:spPr>
            <a:ln w="28575" cap="rnd">
              <a:solidFill>
                <a:schemeClr val="accent5">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7C-7A07-4A88-AC35-3C2C28434CFA}"/>
            </c:ext>
          </c:extLst>
        </c:ser>
        <c:ser>
          <c:idx val="35"/>
          <c:order val="35"/>
          <c:spPr>
            <a:ln w="28575" cap="rnd">
              <a:solidFill>
                <a:schemeClr val="accent6">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7E-7A07-4A88-AC35-3C2C28434CFA}"/>
            </c:ext>
          </c:extLst>
        </c:ser>
        <c:ser>
          <c:idx val="36"/>
          <c:order val="36"/>
          <c:spPr>
            <a:ln w="28575" cap="rnd">
              <a:solidFill>
                <a:schemeClr val="accent1">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80-7A07-4A88-AC35-3C2C28434CFA}"/>
            </c:ext>
          </c:extLst>
        </c:ser>
        <c:ser>
          <c:idx val="37"/>
          <c:order val="37"/>
          <c:spPr>
            <a:ln w="28575" cap="rnd">
              <a:solidFill>
                <a:schemeClr val="accent2">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82-7A07-4A88-AC35-3C2C28434CFA}"/>
            </c:ext>
          </c:extLst>
        </c:ser>
        <c:ser>
          <c:idx val="38"/>
          <c:order val="38"/>
          <c:spPr>
            <a:ln w="28575" cap="rnd">
              <a:solidFill>
                <a:schemeClr val="accent3">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84-7A07-4A88-AC35-3C2C28434CFA}"/>
            </c:ext>
          </c:extLst>
        </c:ser>
        <c:ser>
          <c:idx val="39"/>
          <c:order val="39"/>
          <c:spPr>
            <a:ln w="28575" cap="rnd">
              <a:solidFill>
                <a:schemeClr val="accent4">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86-7A07-4A88-AC35-3C2C28434CFA}"/>
            </c:ext>
          </c:extLst>
        </c:ser>
        <c:ser>
          <c:idx val="40"/>
          <c:order val="40"/>
          <c:spPr>
            <a:ln w="28575" cap="rnd">
              <a:solidFill>
                <a:schemeClr val="accent5">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88-7A07-4A88-AC35-3C2C28434CFA}"/>
            </c:ext>
          </c:extLst>
        </c:ser>
        <c:ser>
          <c:idx val="41"/>
          <c:order val="41"/>
          <c:spPr>
            <a:ln w="28575" cap="rnd">
              <a:solidFill>
                <a:schemeClr val="accent6">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8A-7A07-4A88-AC35-3C2C28434CFA}"/>
            </c:ext>
          </c:extLst>
        </c:ser>
        <c:ser>
          <c:idx val="42"/>
          <c:order val="42"/>
          <c:spPr>
            <a:ln w="28575" cap="rnd">
              <a:solidFill>
                <a:schemeClr val="accent1">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8C-7A07-4A88-AC35-3C2C28434CFA}"/>
            </c:ext>
          </c:extLst>
        </c:ser>
        <c:ser>
          <c:idx val="43"/>
          <c:order val="43"/>
          <c:spPr>
            <a:ln w="28575" cap="rnd">
              <a:solidFill>
                <a:schemeClr val="accent2">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8E-7A07-4A88-AC35-3C2C28434CFA}"/>
            </c:ext>
          </c:extLst>
        </c:ser>
        <c:ser>
          <c:idx val="44"/>
          <c:order val="44"/>
          <c:spPr>
            <a:ln w="28575" cap="rnd">
              <a:solidFill>
                <a:schemeClr val="accent3">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90-7A07-4A88-AC35-3C2C28434CFA}"/>
            </c:ext>
          </c:extLst>
        </c:ser>
        <c:ser>
          <c:idx val="45"/>
          <c:order val="45"/>
          <c:spPr>
            <a:ln w="28575" cap="rnd">
              <a:solidFill>
                <a:schemeClr val="accent4">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92-7A07-4A88-AC35-3C2C28434CFA}"/>
            </c:ext>
          </c:extLst>
        </c:ser>
        <c:ser>
          <c:idx val="46"/>
          <c:order val="46"/>
          <c:spPr>
            <a:ln w="28575" cap="rnd">
              <a:solidFill>
                <a:schemeClr val="accent5">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94-7A07-4A88-AC35-3C2C28434CFA}"/>
            </c:ext>
          </c:extLst>
        </c:ser>
        <c:ser>
          <c:idx val="47"/>
          <c:order val="47"/>
          <c:spPr>
            <a:ln w="28575" cap="rnd">
              <a:solidFill>
                <a:schemeClr val="accent6">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96-7A07-4A88-AC35-3C2C28434CFA}"/>
            </c:ext>
          </c:extLst>
        </c:ser>
        <c:ser>
          <c:idx val="48"/>
          <c:order val="48"/>
          <c:spPr>
            <a:ln w="28575" cap="rnd">
              <a:solidFill>
                <a:schemeClr val="accent1">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98-7A07-4A88-AC35-3C2C28434CFA}"/>
            </c:ext>
          </c:extLst>
        </c:ser>
        <c:ser>
          <c:idx val="49"/>
          <c:order val="49"/>
          <c:spPr>
            <a:ln w="28575" cap="rnd">
              <a:solidFill>
                <a:schemeClr val="accent2">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9A-7A07-4A88-AC35-3C2C28434CFA}"/>
            </c:ext>
          </c:extLst>
        </c:ser>
        <c:ser>
          <c:idx val="50"/>
          <c:order val="50"/>
          <c:spPr>
            <a:ln w="28575" cap="rnd">
              <a:solidFill>
                <a:schemeClr val="accent3">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9C-7A07-4A88-AC35-3C2C28434CFA}"/>
            </c:ext>
          </c:extLst>
        </c:ser>
        <c:ser>
          <c:idx val="51"/>
          <c:order val="51"/>
          <c:spPr>
            <a:ln w="28575" cap="rnd">
              <a:solidFill>
                <a:schemeClr val="accent4">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9E-7A07-4A88-AC35-3C2C28434CFA}"/>
            </c:ext>
          </c:extLst>
        </c:ser>
        <c:ser>
          <c:idx val="52"/>
          <c:order val="52"/>
          <c:spPr>
            <a:ln w="28575" cap="rnd">
              <a:solidFill>
                <a:schemeClr val="accent5">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A0-7A07-4A88-AC35-3C2C28434CFA}"/>
            </c:ext>
          </c:extLst>
        </c:ser>
        <c:ser>
          <c:idx val="53"/>
          <c:order val="53"/>
          <c:spPr>
            <a:ln w="28575" cap="rnd">
              <a:solidFill>
                <a:schemeClr val="accent6">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A2-7A07-4A88-AC35-3C2C28434CFA}"/>
            </c:ext>
          </c:extLst>
        </c:ser>
        <c:ser>
          <c:idx val="54"/>
          <c:order val="54"/>
          <c:spPr>
            <a:ln w="28575" cap="rnd">
              <a:solidFill>
                <a:schemeClr val="accent1"/>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A4-7A07-4A88-AC35-3C2C28434CFA}"/>
            </c:ext>
          </c:extLst>
        </c:ser>
        <c:ser>
          <c:idx val="55"/>
          <c:order val="55"/>
          <c:spPr>
            <a:ln w="28575" cap="rnd">
              <a:solidFill>
                <a:schemeClr val="accent2"/>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A6-7A07-4A88-AC35-3C2C28434CFA}"/>
            </c:ext>
          </c:extLst>
        </c:ser>
        <c:ser>
          <c:idx val="56"/>
          <c:order val="56"/>
          <c:spPr>
            <a:ln w="28575" cap="rnd">
              <a:solidFill>
                <a:schemeClr val="accent3"/>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A8-7A07-4A88-AC35-3C2C28434CFA}"/>
            </c:ext>
          </c:extLst>
        </c:ser>
        <c:ser>
          <c:idx val="57"/>
          <c:order val="57"/>
          <c:spPr>
            <a:ln w="28575" cap="rnd">
              <a:solidFill>
                <a:schemeClr val="accent4"/>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AA-7A07-4A88-AC35-3C2C28434CFA}"/>
            </c:ext>
          </c:extLst>
        </c:ser>
        <c:ser>
          <c:idx val="58"/>
          <c:order val="58"/>
          <c:spPr>
            <a:ln w="28575" cap="rnd">
              <a:solidFill>
                <a:schemeClr val="accent5"/>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AC-7A07-4A88-AC35-3C2C28434CFA}"/>
            </c:ext>
          </c:extLst>
        </c:ser>
        <c:ser>
          <c:idx val="59"/>
          <c:order val="59"/>
          <c:spPr>
            <a:ln w="28575" cap="rnd">
              <a:solidFill>
                <a:schemeClr val="accent6"/>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AE-7A07-4A88-AC35-3C2C28434CFA}"/>
            </c:ext>
          </c:extLst>
        </c:ser>
        <c:ser>
          <c:idx val="60"/>
          <c:order val="60"/>
          <c:spPr>
            <a:ln w="28575" cap="rnd">
              <a:solidFill>
                <a:schemeClr val="accent1">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B0-7A07-4A88-AC35-3C2C28434CFA}"/>
            </c:ext>
          </c:extLst>
        </c:ser>
        <c:ser>
          <c:idx val="61"/>
          <c:order val="61"/>
          <c:spPr>
            <a:ln w="28575" cap="rnd">
              <a:solidFill>
                <a:schemeClr val="accent2">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B2-7A07-4A88-AC35-3C2C28434CFA}"/>
            </c:ext>
          </c:extLst>
        </c:ser>
        <c:ser>
          <c:idx val="62"/>
          <c:order val="62"/>
          <c:spPr>
            <a:ln w="28575" cap="rnd">
              <a:solidFill>
                <a:schemeClr val="accent3">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B4-7A07-4A88-AC35-3C2C28434CFA}"/>
            </c:ext>
          </c:extLst>
        </c:ser>
        <c:ser>
          <c:idx val="63"/>
          <c:order val="63"/>
          <c:spPr>
            <a:ln w="28575" cap="rnd">
              <a:solidFill>
                <a:schemeClr val="accent4">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B6-7A07-4A88-AC35-3C2C28434CFA}"/>
            </c:ext>
          </c:extLst>
        </c:ser>
        <c:ser>
          <c:idx val="64"/>
          <c:order val="64"/>
          <c:spPr>
            <a:ln w="28575" cap="rnd">
              <a:solidFill>
                <a:schemeClr val="accent5">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B8-7A07-4A88-AC35-3C2C28434CFA}"/>
            </c:ext>
          </c:extLst>
        </c:ser>
        <c:ser>
          <c:idx val="65"/>
          <c:order val="65"/>
          <c:spPr>
            <a:ln w="28575" cap="rnd">
              <a:solidFill>
                <a:schemeClr val="accent6">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BA-7A07-4A88-AC35-3C2C28434CFA}"/>
            </c:ext>
          </c:extLst>
        </c:ser>
        <c:ser>
          <c:idx val="66"/>
          <c:order val="66"/>
          <c:spPr>
            <a:ln w="28575" cap="rnd">
              <a:solidFill>
                <a:schemeClr val="accent1">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BC-7A07-4A88-AC35-3C2C28434CFA}"/>
            </c:ext>
          </c:extLst>
        </c:ser>
        <c:ser>
          <c:idx val="67"/>
          <c:order val="67"/>
          <c:spPr>
            <a:ln w="28575" cap="rnd">
              <a:solidFill>
                <a:schemeClr val="accent2">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BE-7A07-4A88-AC35-3C2C28434CFA}"/>
            </c:ext>
          </c:extLst>
        </c:ser>
        <c:ser>
          <c:idx val="68"/>
          <c:order val="68"/>
          <c:spPr>
            <a:ln w="28575" cap="rnd">
              <a:solidFill>
                <a:schemeClr val="accent3">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C0-7A07-4A88-AC35-3C2C28434CFA}"/>
            </c:ext>
          </c:extLst>
        </c:ser>
        <c:ser>
          <c:idx val="69"/>
          <c:order val="69"/>
          <c:spPr>
            <a:ln w="28575" cap="rnd">
              <a:solidFill>
                <a:schemeClr val="accent4">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C2-7A07-4A88-AC35-3C2C28434CFA}"/>
            </c:ext>
          </c:extLst>
        </c:ser>
        <c:ser>
          <c:idx val="70"/>
          <c:order val="70"/>
          <c:spPr>
            <a:ln w="28575" cap="rnd">
              <a:solidFill>
                <a:schemeClr val="accent5">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C4-7A07-4A88-AC35-3C2C28434CFA}"/>
            </c:ext>
          </c:extLst>
        </c:ser>
        <c:ser>
          <c:idx val="71"/>
          <c:order val="71"/>
          <c:spPr>
            <a:ln w="28575" cap="rnd">
              <a:solidFill>
                <a:schemeClr val="accent6">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C6-7A07-4A88-AC35-3C2C28434CFA}"/>
            </c:ext>
          </c:extLst>
        </c:ser>
        <c:ser>
          <c:idx val="72"/>
          <c:order val="72"/>
          <c:spPr>
            <a:ln w="28575" cap="rnd">
              <a:solidFill>
                <a:schemeClr val="accent1">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C8-7A07-4A88-AC35-3C2C28434CFA}"/>
            </c:ext>
          </c:extLst>
        </c:ser>
        <c:ser>
          <c:idx val="73"/>
          <c:order val="73"/>
          <c:spPr>
            <a:ln w="28575" cap="rnd">
              <a:solidFill>
                <a:schemeClr val="accent2">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CA-7A07-4A88-AC35-3C2C28434CFA}"/>
            </c:ext>
          </c:extLst>
        </c:ser>
        <c:ser>
          <c:idx val="74"/>
          <c:order val="74"/>
          <c:spPr>
            <a:ln w="28575" cap="rnd">
              <a:solidFill>
                <a:schemeClr val="accent3">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CC-7A07-4A88-AC35-3C2C28434CFA}"/>
            </c:ext>
          </c:extLst>
        </c:ser>
        <c:ser>
          <c:idx val="75"/>
          <c:order val="75"/>
          <c:spPr>
            <a:ln w="28575" cap="rnd">
              <a:solidFill>
                <a:schemeClr val="accent4">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CE-7A07-4A88-AC35-3C2C28434CFA}"/>
            </c:ext>
          </c:extLst>
        </c:ser>
        <c:ser>
          <c:idx val="76"/>
          <c:order val="76"/>
          <c:spPr>
            <a:ln w="28575" cap="rnd">
              <a:solidFill>
                <a:schemeClr val="accent5">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D0-7A07-4A88-AC35-3C2C28434CFA}"/>
            </c:ext>
          </c:extLst>
        </c:ser>
        <c:ser>
          <c:idx val="77"/>
          <c:order val="77"/>
          <c:spPr>
            <a:ln w="28575" cap="rnd">
              <a:solidFill>
                <a:schemeClr val="accent6">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D2-7A07-4A88-AC35-3C2C28434CFA}"/>
            </c:ext>
          </c:extLst>
        </c:ser>
        <c:ser>
          <c:idx val="78"/>
          <c:order val="78"/>
          <c:spPr>
            <a:ln w="28575" cap="rnd">
              <a:solidFill>
                <a:schemeClr val="accent1">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D4-7A07-4A88-AC35-3C2C28434CFA}"/>
            </c:ext>
          </c:extLst>
        </c:ser>
        <c:ser>
          <c:idx val="79"/>
          <c:order val="79"/>
          <c:spPr>
            <a:ln w="28575" cap="rnd">
              <a:solidFill>
                <a:schemeClr val="accent2">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D6-7A07-4A88-AC35-3C2C28434CFA}"/>
            </c:ext>
          </c:extLst>
        </c:ser>
        <c:ser>
          <c:idx val="80"/>
          <c:order val="80"/>
          <c:spPr>
            <a:ln w="28575" cap="rnd">
              <a:solidFill>
                <a:schemeClr val="accent3">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D8-7A07-4A88-AC35-3C2C28434CFA}"/>
            </c:ext>
          </c:extLst>
        </c:ser>
        <c:ser>
          <c:idx val="81"/>
          <c:order val="81"/>
          <c:spPr>
            <a:ln w="28575" cap="rnd">
              <a:solidFill>
                <a:schemeClr val="accent4">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DA-7A07-4A88-AC35-3C2C28434CFA}"/>
            </c:ext>
          </c:extLst>
        </c:ser>
        <c:ser>
          <c:idx val="82"/>
          <c:order val="82"/>
          <c:spPr>
            <a:ln w="28575" cap="rnd">
              <a:solidFill>
                <a:schemeClr val="accent5">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DC-7A07-4A88-AC35-3C2C28434CFA}"/>
            </c:ext>
          </c:extLst>
        </c:ser>
        <c:ser>
          <c:idx val="83"/>
          <c:order val="83"/>
          <c:spPr>
            <a:ln w="28575" cap="rnd">
              <a:solidFill>
                <a:schemeClr val="accent6">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DE-7A07-4A88-AC35-3C2C28434CFA}"/>
            </c:ext>
          </c:extLst>
        </c:ser>
        <c:ser>
          <c:idx val="84"/>
          <c:order val="84"/>
          <c:spPr>
            <a:ln w="28575" cap="rnd">
              <a:solidFill>
                <a:schemeClr val="accent1">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E0-7A07-4A88-AC35-3C2C28434CFA}"/>
            </c:ext>
          </c:extLst>
        </c:ser>
        <c:ser>
          <c:idx val="85"/>
          <c:order val="85"/>
          <c:spPr>
            <a:ln w="28575" cap="rnd">
              <a:solidFill>
                <a:schemeClr val="accent2">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E2-7A07-4A88-AC35-3C2C28434CFA}"/>
            </c:ext>
          </c:extLst>
        </c:ser>
        <c:ser>
          <c:idx val="86"/>
          <c:order val="86"/>
          <c:spPr>
            <a:ln w="28575" cap="rnd">
              <a:solidFill>
                <a:schemeClr val="accent3">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E4-7A07-4A88-AC35-3C2C28434CFA}"/>
            </c:ext>
          </c:extLst>
        </c:ser>
        <c:ser>
          <c:idx val="87"/>
          <c:order val="87"/>
          <c:spPr>
            <a:ln w="28575" cap="rnd">
              <a:solidFill>
                <a:schemeClr val="accent4">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E6-7A07-4A88-AC35-3C2C28434CFA}"/>
            </c:ext>
          </c:extLst>
        </c:ser>
        <c:ser>
          <c:idx val="88"/>
          <c:order val="88"/>
          <c:spPr>
            <a:ln w="28575" cap="rnd">
              <a:solidFill>
                <a:schemeClr val="accent5">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E8-7A07-4A88-AC35-3C2C28434CFA}"/>
            </c:ext>
          </c:extLst>
        </c:ser>
        <c:ser>
          <c:idx val="89"/>
          <c:order val="89"/>
          <c:spPr>
            <a:ln w="28575" cap="rnd">
              <a:solidFill>
                <a:schemeClr val="accent6">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EA-7A07-4A88-AC35-3C2C28434CFA}"/>
            </c:ext>
          </c:extLst>
        </c:ser>
        <c:ser>
          <c:idx val="90"/>
          <c:order val="90"/>
          <c:spPr>
            <a:ln w="28575" cap="rnd">
              <a:solidFill>
                <a:schemeClr val="accent1">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EC-7A07-4A88-AC35-3C2C28434CFA}"/>
            </c:ext>
          </c:extLst>
        </c:ser>
        <c:ser>
          <c:idx val="91"/>
          <c:order val="91"/>
          <c:spPr>
            <a:ln w="28575" cap="rnd">
              <a:solidFill>
                <a:schemeClr val="accent2">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EE-7A07-4A88-AC35-3C2C28434CFA}"/>
            </c:ext>
          </c:extLst>
        </c:ser>
        <c:ser>
          <c:idx val="92"/>
          <c:order val="92"/>
          <c:spPr>
            <a:ln w="28575" cap="rnd">
              <a:solidFill>
                <a:schemeClr val="accent3">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F0-7A07-4A88-AC35-3C2C28434CFA}"/>
            </c:ext>
          </c:extLst>
        </c:ser>
        <c:ser>
          <c:idx val="93"/>
          <c:order val="93"/>
          <c:spPr>
            <a:ln w="28575" cap="rnd">
              <a:solidFill>
                <a:schemeClr val="accent4">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F2-7A07-4A88-AC35-3C2C28434CFA}"/>
            </c:ext>
          </c:extLst>
        </c:ser>
        <c:ser>
          <c:idx val="94"/>
          <c:order val="94"/>
          <c:spPr>
            <a:ln w="28575" cap="rnd">
              <a:solidFill>
                <a:schemeClr val="accent5">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F4-7A07-4A88-AC35-3C2C28434CFA}"/>
            </c:ext>
          </c:extLst>
        </c:ser>
        <c:ser>
          <c:idx val="95"/>
          <c:order val="95"/>
          <c:spPr>
            <a:ln w="28575" cap="rnd">
              <a:solidFill>
                <a:schemeClr val="accent6">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F6-7A07-4A88-AC35-3C2C28434CFA}"/>
            </c:ext>
          </c:extLst>
        </c:ser>
        <c:ser>
          <c:idx val="96"/>
          <c:order val="96"/>
          <c:spPr>
            <a:ln w="28575" cap="rnd">
              <a:solidFill>
                <a:schemeClr val="accent1">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F8-7A07-4A88-AC35-3C2C28434CFA}"/>
            </c:ext>
          </c:extLst>
        </c:ser>
        <c:ser>
          <c:idx val="97"/>
          <c:order val="97"/>
          <c:spPr>
            <a:ln w="28575" cap="rnd">
              <a:solidFill>
                <a:schemeClr val="accent2">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FA-7A07-4A88-AC35-3C2C28434CFA}"/>
            </c:ext>
          </c:extLst>
        </c:ser>
        <c:ser>
          <c:idx val="98"/>
          <c:order val="98"/>
          <c:spPr>
            <a:ln w="28575" cap="rnd">
              <a:solidFill>
                <a:schemeClr val="accent3">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FC-7A07-4A88-AC35-3C2C28434CFA}"/>
            </c:ext>
          </c:extLst>
        </c:ser>
        <c:ser>
          <c:idx val="99"/>
          <c:order val="99"/>
          <c:spPr>
            <a:ln w="28575" cap="rnd">
              <a:solidFill>
                <a:schemeClr val="accent4">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1FE-7A07-4A88-AC35-3C2C28434CFA}"/>
            </c:ext>
          </c:extLst>
        </c:ser>
        <c:ser>
          <c:idx val="100"/>
          <c:order val="100"/>
          <c:spPr>
            <a:ln w="28575" cap="rnd">
              <a:solidFill>
                <a:schemeClr val="accent5">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00-7A07-4A88-AC35-3C2C28434CFA}"/>
            </c:ext>
          </c:extLst>
        </c:ser>
        <c:ser>
          <c:idx val="101"/>
          <c:order val="101"/>
          <c:spPr>
            <a:ln w="28575" cap="rnd">
              <a:solidFill>
                <a:schemeClr val="accent6">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02-7A07-4A88-AC35-3C2C28434CFA}"/>
            </c:ext>
          </c:extLst>
        </c:ser>
        <c:ser>
          <c:idx val="102"/>
          <c:order val="102"/>
          <c:spPr>
            <a:ln w="28575" cap="rnd">
              <a:solidFill>
                <a:schemeClr val="accent1">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04-7A07-4A88-AC35-3C2C28434CFA}"/>
            </c:ext>
          </c:extLst>
        </c:ser>
        <c:ser>
          <c:idx val="103"/>
          <c:order val="103"/>
          <c:spPr>
            <a:ln w="28575" cap="rnd">
              <a:solidFill>
                <a:schemeClr val="accent2">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06-7A07-4A88-AC35-3C2C28434CFA}"/>
            </c:ext>
          </c:extLst>
        </c:ser>
        <c:ser>
          <c:idx val="104"/>
          <c:order val="104"/>
          <c:spPr>
            <a:ln w="28575" cap="rnd">
              <a:solidFill>
                <a:schemeClr val="accent3">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08-7A07-4A88-AC35-3C2C28434CFA}"/>
            </c:ext>
          </c:extLst>
        </c:ser>
        <c:ser>
          <c:idx val="105"/>
          <c:order val="105"/>
          <c:spPr>
            <a:ln w="28575" cap="rnd">
              <a:solidFill>
                <a:schemeClr val="accent4">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0A-7A07-4A88-AC35-3C2C28434CFA}"/>
            </c:ext>
          </c:extLst>
        </c:ser>
        <c:ser>
          <c:idx val="106"/>
          <c:order val="106"/>
          <c:spPr>
            <a:ln w="28575" cap="rnd">
              <a:solidFill>
                <a:schemeClr val="accent5">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0C-7A07-4A88-AC35-3C2C28434CFA}"/>
            </c:ext>
          </c:extLst>
        </c:ser>
        <c:ser>
          <c:idx val="107"/>
          <c:order val="107"/>
          <c:spPr>
            <a:ln w="28575" cap="rnd">
              <a:solidFill>
                <a:schemeClr val="accent6">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0E-7A07-4A88-AC35-3C2C28434CFA}"/>
            </c:ext>
          </c:extLst>
        </c:ser>
        <c:ser>
          <c:idx val="108"/>
          <c:order val="108"/>
          <c:spPr>
            <a:ln w="28575" cap="rnd">
              <a:solidFill>
                <a:schemeClr val="accent1"/>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10-7A07-4A88-AC35-3C2C28434CFA}"/>
            </c:ext>
          </c:extLst>
        </c:ser>
        <c:ser>
          <c:idx val="109"/>
          <c:order val="109"/>
          <c:spPr>
            <a:ln w="28575" cap="rnd">
              <a:solidFill>
                <a:schemeClr val="accent2"/>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12-7A07-4A88-AC35-3C2C28434CFA}"/>
            </c:ext>
          </c:extLst>
        </c:ser>
        <c:ser>
          <c:idx val="110"/>
          <c:order val="110"/>
          <c:spPr>
            <a:ln w="28575" cap="rnd">
              <a:solidFill>
                <a:schemeClr val="accent3"/>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14-7A07-4A88-AC35-3C2C28434CFA}"/>
            </c:ext>
          </c:extLst>
        </c:ser>
        <c:ser>
          <c:idx val="111"/>
          <c:order val="111"/>
          <c:spPr>
            <a:ln w="28575" cap="rnd">
              <a:solidFill>
                <a:schemeClr val="accent4"/>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16-7A07-4A88-AC35-3C2C28434CFA}"/>
            </c:ext>
          </c:extLst>
        </c:ser>
        <c:ser>
          <c:idx val="112"/>
          <c:order val="112"/>
          <c:spPr>
            <a:ln w="28575" cap="rnd">
              <a:solidFill>
                <a:schemeClr val="accent5"/>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18-7A07-4A88-AC35-3C2C28434CFA}"/>
            </c:ext>
          </c:extLst>
        </c:ser>
        <c:ser>
          <c:idx val="113"/>
          <c:order val="113"/>
          <c:spPr>
            <a:ln w="28575" cap="rnd">
              <a:solidFill>
                <a:schemeClr val="accent6"/>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1A-7A07-4A88-AC35-3C2C28434CFA}"/>
            </c:ext>
          </c:extLst>
        </c:ser>
        <c:ser>
          <c:idx val="114"/>
          <c:order val="114"/>
          <c:spPr>
            <a:ln w="28575" cap="rnd">
              <a:solidFill>
                <a:schemeClr val="accent1">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1C-7A07-4A88-AC35-3C2C28434CFA}"/>
            </c:ext>
          </c:extLst>
        </c:ser>
        <c:ser>
          <c:idx val="115"/>
          <c:order val="115"/>
          <c:spPr>
            <a:ln w="28575" cap="rnd">
              <a:solidFill>
                <a:schemeClr val="accent2">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1E-7A07-4A88-AC35-3C2C28434CFA}"/>
            </c:ext>
          </c:extLst>
        </c:ser>
        <c:ser>
          <c:idx val="116"/>
          <c:order val="116"/>
          <c:spPr>
            <a:ln w="28575" cap="rnd">
              <a:solidFill>
                <a:schemeClr val="accent3">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20-7A07-4A88-AC35-3C2C28434CFA}"/>
            </c:ext>
          </c:extLst>
        </c:ser>
        <c:ser>
          <c:idx val="117"/>
          <c:order val="117"/>
          <c:spPr>
            <a:ln w="28575" cap="rnd">
              <a:solidFill>
                <a:schemeClr val="accent4">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22-7A07-4A88-AC35-3C2C28434CFA}"/>
            </c:ext>
          </c:extLst>
        </c:ser>
        <c:ser>
          <c:idx val="118"/>
          <c:order val="118"/>
          <c:spPr>
            <a:ln w="28575" cap="rnd">
              <a:solidFill>
                <a:schemeClr val="accent5">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24-7A07-4A88-AC35-3C2C28434CFA}"/>
            </c:ext>
          </c:extLst>
        </c:ser>
        <c:ser>
          <c:idx val="119"/>
          <c:order val="119"/>
          <c:spPr>
            <a:ln w="28575" cap="rnd">
              <a:solidFill>
                <a:schemeClr val="accent6">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26-7A07-4A88-AC35-3C2C28434CFA}"/>
            </c:ext>
          </c:extLst>
        </c:ser>
        <c:ser>
          <c:idx val="120"/>
          <c:order val="120"/>
          <c:spPr>
            <a:ln w="28575" cap="rnd">
              <a:solidFill>
                <a:schemeClr val="accent1">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28-7A07-4A88-AC35-3C2C28434CFA}"/>
            </c:ext>
          </c:extLst>
        </c:ser>
        <c:ser>
          <c:idx val="121"/>
          <c:order val="121"/>
          <c:spPr>
            <a:ln w="28575" cap="rnd">
              <a:solidFill>
                <a:schemeClr val="accent2">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2A-7A07-4A88-AC35-3C2C28434CFA}"/>
            </c:ext>
          </c:extLst>
        </c:ser>
        <c:ser>
          <c:idx val="122"/>
          <c:order val="122"/>
          <c:spPr>
            <a:ln w="28575" cap="rnd">
              <a:solidFill>
                <a:schemeClr val="accent3">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2C-7A07-4A88-AC35-3C2C28434CFA}"/>
            </c:ext>
          </c:extLst>
        </c:ser>
        <c:ser>
          <c:idx val="123"/>
          <c:order val="123"/>
          <c:spPr>
            <a:ln w="28575" cap="rnd">
              <a:solidFill>
                <a:schemeClr val="accent4">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2E-7A07-4A88-AC35-3C2C28434CFA}"/>
            </c:ext>
          </c:extLst>
        </c:ser>
        <c:ser>
          <c:idx val="124"/>
          <c:order val="124"/>
          <c:spPr>
            <a:ln w="28575" cap="rnd">
              <a:solidFill>
                <a:schemeClr val="accent5">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30-7A07-4A88-AC35-3C2C28434CFA}"/>
            </c:ext>
          </c:extLst>
        </c:ser>
        <c:ser>
          <c:idx val="125"/>
          <c:order val="125"/>
          <c:spPr>
            <a:ln w="28575" cap="rnd">
              <a:solidFill>
                <a:schemeClr val="accent6">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32-7A07-4A88-AC35-3C2C28434CFA}"/>
            </c:ext>
          </c:extLst>
        </c:ser>
        <c:ser>
          <c:idx val="126"/>
          <c:order val="126"/>
          <c:spPr>
            <a:ln w="28575" cap="rnd">
              <a:solidFill>
                <a:schemeClr val="accent1">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34-7A07-4A88-AC35-3C2C28434CFA}"/>
            </c:ext>
          </c:extLst>
        </c:ser>
        <c:ser>
          <c:idx val="127"/>
          <c:order val="127"/>
          <c:spPr>
            <a:ln w="28575" cap="rnd">
              <a:solidFill>
                <a:schemeClr val="accent2">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36-7A07-4A88-AC35-3C2C28434CFA}"/>
            </c:ext>
          </c:extLst>
        </c:ser>
        <c:ser>
          <c:idx val="128"/>
          <c:order val="128"/>
          <c:spPr>
            <a:ln w="28575" cap="rnd">
              <a:solidFill>
                <a:schemeClr val="accent3">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38-7A07-4A88-AC35-3C2C28434CFA}"/>
            </c:ext>
          </c:extLst>
        </c:ser>
        <c:ser>
          <c:idx val="129"/>
          <c:order val="129"/>
          <c:spPr>
            <a:ln w="28575" cap="rnd">
              <a:solidFill>
                <a:schemeClr val="accent4">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3A-7A07-4A88-AC35-3C2C28434CFA}"/>
            </c:ext>
          </c:extLst>
        </c:ser>
        <c:ser>
          <c:idx val="130"/>
          <c:order val="130"/>
          <c:spPr>
            <a:ln w="28575" cap="rnd">
              <a:solidFill>
                <a:schemeClr val="accent5">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3C-7A07-4A88-AC35-3C2C28434CFA}"/>
            </c:ext>
          </c:extLst>
        </c:ser>
        <c:ser>
          <c:idx val="131"/>
          <c:order val="131"/>
          <c:spPr>
            <a:ln w="28575" cap="rnd">
              <a:solidFill>
                <a:schemeClr val="accent6">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3E-7A07-4A88-AC35-3C2C28434CFA}"/>
            </c:ext>
          </c:extLst>
        </c:ser>
        <c:ser>
          <c:idx val="132"/>
          <c:order val="132"/>
          <c:spPr>
            <a:ln w="28575" cap="rnd">
              <a:solidFill>
                <a:schemeClr val="accent1">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40-7A07-4A88-AC35-3C2C28434CFA}"/>
            </c:ext>
          </c:extLst>
        </c:ser>
        <c:ser>
          <c:idx val="133"/>
          <c:order val="133"/>
          <c:spPr>
            <a:ln w="28575" cap="rnd">
              <a:solidFill>
                <a:schemeClr val="accent2">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42-7A07-4A88-AC35-3C2C28434CFA}"/>
            </c:ext>
          </c:extLst>
        </c:ser>
        <c:ser>
          <c:idx val="134"/>
          <c:order val="134"/>
          <c:spPr>
            <a:ln w="28575" cap="rnd">
              <a:solidFill>
                <a:schemeClr val="accent3">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44-7A07-4A88-AC35-3C2C28434CFA}"/>
            </c:ext>
          </c:extLst>
        </c:ser>
        <c:ser>
          <c:idx val="135"/>
          <c:order val="135"/>
          <c:spPr>
            <a:ln w="28575" cap="rnd">
              <a:solidFill>
                <a:schemeClr val="accent4">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46-7A07-4A88-AC35-3C2C28434CFA}"/>
            </c:ext>
          </c:extLst>
        </c:ser>
        <c:ser>
          <c:idx val="136"/>
          <c:order val="136"/>
          <c:spPr>
            <a:ln w="28575" cap="rnd">
              <a:solidFill>
                <a:schemeClr val="accent5">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48-7A07-4A88-AC35-3C2C28434CFA}"/>
            </c:ext>
          </c:extLst>
        </c:ser>
        <c:ser>
          <c:idx val="137"/>
          <c:order val="137"/>
          <c:spPr>
            <a:ln w="28575" cap="rnd">
              <a:solidFill>
                <a:schemeClr val="accent6">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4A-7A07-4A88-AC35-3C2C28434CFA}"/>
            </c:ext>
          </c:extLst>
        </c:ser>
        <c:ser>
          <c:idx val="138"/>
          <c:order val="138"/>
          <c:spPr>
            <a:ln w="28575" cap="rnd">
              <a:solidFill>
                <a:schemeClr val="accent1">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4C-7A07-4A88-AC35-3C2C28434CFA}"/>
            </c:ext>
          </c:extLst>
        </c:ser>
        <c:ser>
          <c:idx val="139"/>
          <c:order val="139"/>
          <c:spPr>
            <a:ln w="28575" cap="rnd">
              <a:solidFill>
                <a:schemeClr val="accent2">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4E-7A07-4A88-AC35-3C2C28434CFA}"/>
            </c:ext>
          </c:extLst>
        </c:ser>
        <c:ser>
          <c:idx val="140"/>
          <c:order val="140"/>
          <c:spPr>
            <a:ln w="28575" cap="rnd">
              <a:solidFill>
                <a:schemeClr val="accent3">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50-7A07-4A88-AC35-3C2C28434CFA}"/>
            </c:ext>
          </c:extLst>
        </c:ser>
        <c:ser>
          <c:idx val="141"/>
          <c:order val="141"/>
          <c:spPr>
            <a:ln w="28575" cap="rnd">
              <a:solidFill>
                <a:schemeClr val="accent4">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52-7A07-4A88-AC35-3C2C28434CFA}"/>
            </c:ext>
          </c:extLst>
        </c:ser>
        <c:ser>
          <c:idx val="142"/>
          <c:order val="142"/>
          <c:spPr>
            <a:ln w="28575" cap="rnd">
              <a:solidFill>
                <a:schemeClr val="accent5">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54-7A07-4A88-AC35-3C2C28434CFA}"/>
            </c:ext>
          </c:extLst>
        </c:ser>
        <c:ser>
          <c:idx val="143"/>
          <c:order val="143"/>
          <c:spPr>
            <a:ln w="28575" cap="rnd">
              <a:solidFill>
                <a:schemeClr val="accent6">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56-7A07-4A88-AC35-3C2C28434CFA}"/>
            </c:ext>
          </c:extLst>
        </c:ser>
        <c:ser>
          <c:idx val="144"/>
          <c:order val="144"/>
          <c:spPr>
            <a:ln w="28575" cap="rnd">
              <a:solidFill>
                <a:schemeClr val="accent1">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58-7A07-4A88-AC35-3C2C28434CFA}"/>
            </c:ext>
          </c:extLst>
        </c:ser>
        <c:ser>
          <c:idx val="145"/>
          <c:order val="145"/>
          <c:spPr>
            <a:ln w="28575" cap="rnd">
              <a:solidFill>
                <a:schemeClr val="accent2">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5A-7A07-4A88-AC35-3C2C28434CFA}"/>
            </c:ext>
          </c:extLst>
        </c:ser>
        <c:ser>
          <c:idx val="146"/>
          <c:order val="146"/>
          <c:spPr>
            <a:ln w="28575" cap="rnd">
              <a:solidFill>
                <a:schemeClr val="accent3">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5C-7A07-4A88-AC35-3C2C28434CFA}"/>
            </c:ext>
          </c:extLst>
        </c:ser>
        <c:ser>
          <c:idx val="147"/>
          <c:order val="147"/>
          <c:spPr>
            <a:ln w="28575" cap="rnd">
              <a:solidFill>
                <a:schemeClr val="accent4">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5E-7A07-4A88-AC35-3C2C28434CFA}"/>
            </c:ext>
          </c:extLst>
        </c:ser>
        <c:ser>
          <c:idx val="148"/>
          <c:order val="148"/>
          <c:spPr>
            <a:ln w="28575" cap="rnd">
              <a:solidFill>
                <a:schemeClr val="accent5">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60-7A07-4A88-AC35-3C2C28434CFA}"/>
            </c:ext>
          </c:extLst>
        </c:ser>
        <c:ser>
          <c:idx val="149"/>
          <c:order val="149"/>
          <c:spPr>
            <a:ln w="28575" cap="rnd">
              <a:solidFill>
                <a:schemeClr val="accent6">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62-7A07-4A88-AC35-3C2C28434CFA}"/>
            </c:ext>
          </c:extLst>
        </c:ser>
        <c:ser>
          <c:idx val="150"/>
          <c:order val="150"/>
          <c:spPr>
            <a:ln w="28575" cap="rnd">
              <a:solidFill>
                <a:schemeClr val="accent1">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64-7A07-4A88-AC35-3C2C28434CFA}"/>
            </c:ext>
          </c:extLst>
        </c:ser>
        <c:ser>
          <c:idx val="151"/>
          <c:order val="151"/>
          <c:spPr>
            <a:ln w="28575" cap="rnd">
              <a:solidFill>
                <a:schemeClr val="accent2">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66-7A07-4A88-AC35-3C2C28434CFA}"/>
            </c:ext>
          </c:extLst>
        </c:ser>
        <c:ser>
          <c:idx val="152"/>
          <c:order val="152"/>
          <c:spPr>
            <a:ln w="28575" cap="rnd">
              <a:solidFill>
                <a:schemeClr val="accent3">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68-7A07-4A88-AC35-3C2C28434CFA}"/>
            </c:ext>
          </c:extLst>
        </c:ser>
        <c:ser>
          <c:idx val="153"/>
          <c:order val="153"/>
          <c:spPr>
            <a:ln w="28575" cap="rnd">
              <a:solidFill>
                <a:schemeClr val="accent4">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6A-7A07-4A88-AC35-3C2C28434CFA}"/>
            </c:ext>
          </c:extLst>
        </c:ser>
        <c:ser>
          <c:idx val="154"/>
          <c:order val="154"/>
          <c:spPr>
            <a:ln w="28575" cap="rnd">
              <a:solidFill>
                <a:schemeClr val="accent5">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6C-7A07-4A88-AC35-3C2C28434CFA}"/>
            </c:ext>
          </c:extLst>
        </c:ser>
        <c:ser>
          <c:idx val="155"/>
          <c:order val="155"/>
          <c:spPr>
            <a:ln w="28575" cap="rnd">
              <a:solidFill>
                <a:schemeClr val="accent6">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6E-7A07-4A88-AC35-3C2C28434CFA}"/>
            </c:ext>
          </c:extLst>
        </c:ser>
        <c:ser>
          <c:idx val="156"/>
          <c:order val="156"/>
          <c:spPr>
            <a:ln w="28575" cap="rnd">
              <a:solidFill>
                <a:schemeClr val="accent1">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70-7A07-4A88-AC35-3C2C28434CFA}"/>
            </c:ext>
          </c:extLst>
        </c:ser>
        <c:ser>
          <c:idx val="157"/>
          <c:order val="157"/>
          <c:spPr>
            <a:ln w="28575" cap="rnd">
              <a:solidFill>
                <a:schemeClr val="accent2">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72-7A07-4A88-AC35-3C2C28434CFA}"/>
            </c:ext>
          </c:extLst>
        </c:ser>
        <c:ser>
          <c:idx val="158"/>
          <c:order val="158"/>
          <c:spPr>
            <a:ln w="28575" cap="rnd">
              <a:solidFill>
                <a:schemeClr val="accent3">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74-7A07-4A88-AC35-3C2C28434CFA}"/>
            </c:ext>
          </c:extLst>
        </c:ser>
        <c:ser>
          <c:idx val="159"/>
          <c:order val="159"/>
          <c:spPr>
            <a:ln w="28575" cap="rnd">
              <a:solidFill>
                <a:schemeClr val="accent4">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76-7A07-4A88-AC35-3C2C28434CFA}"/>
            </c:ext>
          </c:extLst>
        </c:ser>
        <c:ser>
          <c:idx val="160"/>
          <c:order val="160"/>
          <c:spPr>
            <a:ln w="28575" cap="rnd">
              <a:solidFill>
                <a:schemeClr val="accent5">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78-7A07-4A88-AC35-3C2C28434CFA}"/>
            </c:ext>
          </c:extLst>
        </c:ser>
        <c:ser>
          <c:idx val="161"/>
          <c:order val="161"/>
          <c:spPr>
            <a:ln w="28575" cap="rnd">
              <a:solidFill>
                <a:schemeClr val="accent6">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7A-7A07-4A88-AC35-3C2C28434CFA}"/>
            </c:ext>
          </c:extLst>
        </c:ser>
        <c:ser>
          <c:idx val="162"/>
          <c:order val="162"/>
          <c:spPr>
            <a:ln w="28575" cap="rnd">
              <a:solidFill>
                <a:schemeClr val="accent1"/>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7C-7A07-4A88-AC35-3C2C28434CFA}"/>
            </c:ext>
          </c:extLst>
        </c:ser>
        <c:ser>
          <c:idx val="163"/>
          <c:order val="163"/>
          <c:spPr>
            <a:ln w="28575" cap="rnd">
              <a:solidFill>
                <a:schemeClr val="accent2"/>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7E-7A07-4A88-AC35-3C2C28434CFA}"/>
            </c:ext>
          </c:extLst>
        </c:ser>
        <c:ser>
          <c:idx val="164"/>
          <c:order val="164"/>
          <c:spPr>
            <a:ln w="28575" cap="rnd">
              <a:solidFill>
                <a:schemeClr val="accent3"/>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80-7A07-4A88-AC35-3C2C28434CFA}"/>
            </c:ext>
          </c:extLst>
        </c:ser>
        <c:ser>
          <c:idx val="165"/>
          <c:order val="165"/>
          <c:spPr>
            <a:ln w="28575" cap="rnd">
              <a:solidFill>
                <a:schemeClr val="accent4"/>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82-7A07-4A88-AC35-3C2C28434CFA}"/>
            </c:ext>
          </c:extLst>
        </c:ser>
        <c:ser>
          <c:idx val="166"/>
          <c:order val="166"/>
          <c:spPr>
            <a:ln w="28575" cap="rnd">
              <a:solidFill>
                <a:schemeClr val="accent5"/>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84-7A07-4A88-AC35-3C2C28434CFA}"/>
            </c:ext>
          </c:extLst>
        </c:ser>
        <c:ser>
          <c:idx val="167"/>
          <c:order val="167"/>
          <c:spPr>
            <a:ln w="28575" cap="rnd">
              <a:solidFill>
                <a:schemeClr val="accent6"/>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86-7A07-4A88-AC35-3C2C28434CFA}"/>
            </c:ext>
          </c:extLst>
        </c:ser>
        <c:ser>
          <c:idx val="168"/>
          <c:order val="168"/>
          <c:spPr>
            <a:ln w="28575" cap="rnd">
              <a:solidFill>
                <a:schemeClr val="accent1">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88-7A07-4A88-AC35-3C2C28434CFA}"/>
            </c:ext>
          </c:extLst>
        </c:ser>
        <c:ser>
          <c:idx val="169"/>
          <c:order val="169"/>
          <c:spPr>
            <a:ln w="28575" cap="rnd">
              <a:solidFill>
                <a:schemeClr val="accent2">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8A-7A07-4A88-AC35-3C2C28434CFA}"/>
            </c:ext>
          </c:extLst>
        </c:ser>
        <c:ser>
          <c:idx val="170"/>
          <c:order val="170"/>
          <c:spPr>
            <a:ln w="28575" cap="rnd">
              <a:solidFill>
                <a:schemeClr val="accent3">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8C-7A07-4A88-AC35-3C2C28434CFA}"/>
            </c:ext>
          </c:extLst>
        </c:ser>
        <c:ser>
          <c:idx val="171"/>
          <c:order val="171"/>
          <c:spPr>
            <a:ln w="28575" cap="rnd">
              <a:solidFill>
                <a:schemeClr val="accent4">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8E-7A07-4A88-AC35-3C2C28434CFA}"/>
            </c:ext>
          </c:extLst>
        </c:ser>
        <c:ser>
          <c:idx val="172"/>
          <c:order val="172"/>
          <c:spPr>
            <a:ln w="28575" cap="rnd">
              <a:solidFill>
                <a:schemeClr val="accent5">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90-7A07-4A88-AC35-3C2C28434CFA}"/>
            </c:ext>
          </c:extLst>
        </c:ser>
        <c:ser>
          <c:idx val="173"/>
          <c:order val="173"/>
          <c:spPr>
            <a:ln w="28575" cap="rnd">
              <a:solidFill>
                <a:schemeClr val="accent6">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92-7A07-4A88-AC35-3C2C28434CFA}"/>
            </c:ext>
          </c:extLst>
        </c:ser>
        <c:ser>
          <c:idx val="174"/>
          <c:order val="174"/>
          <c:spPr>
            <a:ln w="28575" cap="rnd">
              <a:solidFill>
                <a:schemeClr val="accent1">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94-7A07-4A88-AC35-3C2C28434CFA}"/>
            </c:ext>
          </c:extLst>
        </c:ser>
        <c:ser>
          <c:idx val="175"/>
          <c:order val="175"/>
          <c:spPr>
            <a:ln w="28575" cap="rnd">
              <a:solidFill>
                <a:schemeClr val="accent2">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96-7A07-4A88-AC35-3C2C28434CFA}"/>
            </c:ext>
          </c:extLst>
        </c:ser>
        <c:ser>
          <c:idx val="176"/>
          <c:order val="176"/>
          <c:spPr>
            <a:ln w="28575" cap="rnd">
              <a:solidFill>
                <a:schemeClr val="accent3">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98-7A07-4A88-AC35-3C2C28434CFA}"/>
            </c:ext>
          </c:extLst>
        </c:ser>
        <c:ser>
          <c:idx val="177"/>
          <c:order val="177"/>
          <c:spPr>
            <a:ln w="28575" cap="rnd">
              <a:solidFill>
                <a:schemeClr val="accent4">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9A-7A07-4A88-AC35-3C2C28434CFA}"/>
            </c:ext>
          </c:extLst>
        </c:ser>
        <c:ser>
          <c:idx val="178"/>
          <c:order val="178"/>
          <c:spPr>
            <a:ln w="28575" cap="rnd">
              <a:solidFill>
                <a:schemeClr val="accent5">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9C-7A07-4A88-AC35-3C2C28434CFA}"/>
            </c:ext>
          </c:extLst>
        </c:ser>
        <c:ser>
          <c:idx val="179"/>
          <c:order val="179"/>
          <c:spPr>
            <a:ln w="28575" cap="rnd">
              <a:solidFill>
                <a:schemeClr val="accent6">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9E-7A07-4A88-AC35-3C2C28434CFA}"/>
            </c:ext>
          </c:extLst>
        </c:ser>
        <c:ser>
          <c:idx val="180"/>
          <c:order val="180"/>
          <c:spPr>
            <a:ln w="28575" cap="rnd">
              <a:solidFill>
                <a:schemeClr val="accent1">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A0-7A07-4A88-AC35-3C2C28434CFA}"/>
            </c:ext>
          </c:extLst>
        </c:ser>
        <c:ser>
          <c:idx val="181"/>
          <c:order val="181"/>
          <c:spPr>
            <a:ln w="28575" cap="rnd">
              <a:solidFill>
                <a:schemeClr val="accent2">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A2-7A07-4A88-AC35-3C2C28434CFA}"/>
            </c:ext>
          </c:extLst>
        </c:ser>
        <c:ser>
          <c:idx val="182"/>
          <c:order val="182"/>
          <c:spPr>
            <a:ln w="28575" cap="rnd">
              <a:solidFill>
                <a:schemeClr val="accent3">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A4-7A07-4A88-AC35-3C2C28434CFA}"/>
            </c:ext>
          </c:extLst>
        </c:ser>
        <c:ser>
          <c:idx val="183"/>
          <c:order val="183"/>
          <c:spPr>
            <a:ln w="28575" cap="rnd">
              <a:solidFill>
                <a:schemeClr val="accent4">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A6-7A07-4A88-AC35-3C2C28434CFA}"/>
            </c:ext>
          </c:extLst>
        </c:ser>
        <c:ser>
          <c:idx val="184"/>
          <c:order val="184"/>
          <c:spPr>
            <a:ln w="28575" cap="rnd">
              <a:solidFill>
                <a:schemeClr val="accent5">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A8-7A07-4A88-AC35-3C2C28434CFA}"/>
            </c:ext>
          </c:extLst>
        </c:ser>
        <c:ser>
          <c:idx val="185"/>
          <c:order val="185"/>
          <c:spPr>
            <a:ln w="28575" cap="rnd">
              <a:solidFill>
                <a:schemeClr val="accent6">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AA-7A07-4A88-AC35-3C2C28434CFA}"/>
            </c:ext>
          </c:extLst>
        </c:ser>
        <c:ser>
          <c:idx val="186"/>
          <c:order val="186"/>
          <c:spPr>
            <a:ln w="28575" cap="rnd">
              <a:solidFill>
                <a:schemeClr val="accent1">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AC-7A07-4A88-AC35-3C2C28434CFA}"/>
            </c:ext>
          </c:extLst>
        </c:ser>
        <c:ser>
          <c:idx val="187"/>
          <c:order val="187"/>
          <c:spPr>
            <a:ln w="28575" cap="rnd">
              <a:solidFill>
                <a:schemeClr val="accent2">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AE-7A07-4A88-AC35-3C2C28434CFA}"/>
            </c:ext>
          </c:extLst>
        </c:ser>
        <c:ser>
          <c:idx val="188"/>
          <c:order val="188"/>
          <c:spPr>
            <a:ln w="28575" cap="rnd">
              <a:solidFill>
                <a:schemeClr val="accent3">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B0-7A07-4A88-AC35-3C2C28434CFA}"/>
            </c:ext>
          </c:extLst>
        </c:ser>
        <c:ser>
          <c:idx val="189"/>
          <c:order val="189"/>
          <c:spPr>
            <a:ln w="28575" cap="rnd">
              <a:solidFill>
                <a:schemeClr val="accent4">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B2-7A07-4A88-AC35-3C2C28434CFA}"/>
            </c:ext>
          </c:extLst>
        </c:ser>
        <c:ser>
          <c:idx val="190"/>
          <c:order val="190"/>
          <c:spPr>
            <a:ln w="28575" cap="rnd">
              <a:solidFill>
                <a:schemeClr val="accent5">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B4-7A07-4A88-AC35-3C2C28434CFA}"/>
            </c:ext>
          </c:extLst>
        </c:ser>
        <c:ser>
          <c:idx val="191"/>
          <c:order val="191"/>
          <c:spPr>
            <a:ln w="28575" cap="rnd">
              <a:solidFill>
                <a:schemeClr val="accent6">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B6-7A07-4A88-AC35-3C2C28434CFA}"/>
            </c:ext>
          </c:extLst>
        </c:ser>
        <c:ser>
          <c:idx val="192"/>
          <c:order val="192"/>
          <c:spPr>
            <a:ln w="28575" cap="rnd">
              <a:solidFill>
                <a:schemeClr val="accent1">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B8-7A07-4A88-AC35-3C2C28434CFA}"/>
            </c:ext>
          </c:extLst>
        </c:ser>
        <c:ser>
          <c:idx val="193"/>
          <c:order val="193"/>
          <c:spPr>
            <a:ln w="28575" cap="rnd">
              <a:solidFill>
                <a:schemeClr val="accent2">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BA-7A07-4A88-AC35-3C2C28434CFA}"/>
            </c:ext>
          </c:extLst>
        </c:ser>
        <c:ser>
          <c:idx val="194"/>
          <c:order val="194"/>
          <c:spPr>
            <a:ln w="28575" cap="rnd">
              <a:solidFill>
                <a:schemeClr val="accent3">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BC-7A07-4A88-AC35-3C2C28434CFA}"/>
            </c:ext>
          </c:extLst>
        </c:ser>
        <c:ser>
          <c:idx val="195"/>
          <c:order val="195"/>
          <c:spPr>
            <a:ln w="28575" cap="rnd">
              <a:solidFill>
                <a:schemeClr val="accent4">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BE-7A07-4A88-AC35-3C2C28434CFA}"/>
            </c:ext>
          </c:extLst>
        </c:ser>
        <c:ser>
          <c:idx val="196"/>
          <c:order val="196"/>
          <c:spPr>
            <a:ln w="28575" cap="rnd">
              <a:solidFill>
                <a:schemeClr val="accent5">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C0-7A07-4A88-AC35-3C2C28434CFA}"/>
            </c:ext>
          </c:extLst>
        </c:ser>
        <c:ser>
          <c:idx val="197"/>
          <c:order val="197"/>
          <c:spPr>
            <a:ln w="28575" cap="rnd">
              <a:solidFill>
                <a:schemeClr val="accent6">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C2-7A07-4A88-AC35-3C2C28434CFA}"/>
            </c:ext>
          </c:extLst>
        </c:ser>
        <c:ser>
          <c:idx val="198"/>
          <c:order val="198"/>
          <c:spPr>
            <a:ln w="28575" cap="rnd">
              <a:solidFill>
                <a:schemeClr val="accent1">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C4-7A07-4A88-AC35-3C2C28434CFA}"/>
            </c:ext>
          </c:extLst>
        </c:ser>
        <c:ser>
          <c:idx val="199"/>
          <c:order val="199"/>
          <c:spPr>
            <a:ln w="28575" cap="rnd">
              <a:solidFill>
                <a:schemeClr val="accent2">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C6-7A07-4A88-AC35-3C2C28434CFA}"/>
            </c:ext>
          </c:extLst>
        </c:ser>
        <c:ser>
          <c:idx val="200"/>
          <c:order val="200"/>
          <c:spPr>
            <a:ln w="28575" cap="rnd">
              <a:solidFill>
                <a:schemeClr val="accent3">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C8-7A07-4A88-AC35-3C2C28434CFA}"/>
            </c:ext>
          </c:extLst>
        </c:ser>
        <c:ser>
          <c:idx val="201"/>
          <c:order val="201"/>
          <c:spPr>
            <a:ln w="28575" cap="rnd">
              <a:solidFill>
                <a:schemeClr val="accent4">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CA-7A07-4A88-AC35-3C2C28434CFA}"/>
            </c:ext>
          </c:extLst>
        </c:ser>
        <c:ser>
          <c:idx val="202"/>
          <c:order val="202"/>
          <c:spPr>
            <a:ln w="28575" cap="rnd">
              <a:solidFill>
                <a:schemeClr val="accent5">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CC-7A07-4A88-AC35-3C2C28434CFA}"/>
            </c:ext>
          </c:extLst>
        </c:ser>
        <c:ser>
          <c:idx val="203"/>
          <c:order val="203"/>
          <c:spPr>
            <a:ln w="28575" cap="rnd">
              <a:solidFill>
                <a:schemeClr val="accent6">
                  <a:lumMod val="70000"/>
                  <a:lumOff val="3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CE-7A07-4A88-AC35-3C2C28434CFA}"/>
            </c:ext>
          </c:extLst>
        </c:ser>
        <c:ser>
          <c:idx val="204"/>
          <c:order val="204"/>
          <c:spPr>
            <a:ln w="28575" cap="rnd">
              <a:solidFill>
                <a:schemeClr val="accent1">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D0-7A07-4A88-AC35-3C2C28434CFA}"/>
            </c:ext>
          </c:extLst>
        </c:ser>
        <c:ser>
          <c:idx val="205"/>
          <c:order val="205"/>
          <c:spPr>
            <a:ln w="28575" cap="rnd">
              <a:solidFill>
                <a:schemeClr val="accent2">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D2-7A07-4A88-AC35-3C2C28434CFA}"/>
            </c:ext>
          </c:extLst>
        </c:ser>
        <c:ser>
          <c:idx val="206"/>
          <c:order val="206"/>
          <c:spPr>
            <a:ln w="28575" cap="rnd">
              <a:solidFill>
                <a:schemeClr val="accent3">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D4-7A07-4A88-AC35-3C2C28434CFA}"/>
            </c:ext>
          </c:extLst>
        </c:ser>
        <c:ser>
          <c:idx val="207"/>
          <c:order val="207"/>
          <c:spPr>
            <a:ln w="28575" cap="rnd">
              <a:solidFill>
                <a:schemeClr val="accent4">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D6-7A07-4A88-AC35-3C2C28434CFA}"/>
            </c:ext>
          </c:extLst>
        </c:ser>
        <c:ser>
          <c:idx val="208"/>
          <c:order val="208"/>
          <c:spPr>
            <a:ln w="28575" cap="rnd">
              <a:solidFill>
                <a:schemeClr val="accent5">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D8-7A07-4A88-AC35-3C2C28434CFA}"/>
            </c:ext>
          </c:extLst>
        </c:ser>
        <c:ser>
          <c:idx val="209"/>
          <c:order val="209"/>
          <c:spPr>
            <a:ln w="28575" cap="rnd">
              <a:solidFill>
                <a:schemeClr val="accent6">
                  <a:lumMod val="7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DA-7A07-4A88-AC35-3C2C28434CFA}"/>
            </c:ext>
          </c:extLst>
        </c:ser>
        <c:ser>
          <c:idx val="210"/>
          <c:order val="210"/>
          <c:spPr>
            <a:ln w="28575" cap="rnd">
              <a:solidFill>
                <a:schemeClr val="accent1">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DC-7A07-4A88-AC35-3C2C28434CFA}"/>
            </c:ext>
          </c:extLst>
        </c:ser>
        <c:ser>
          <c:idx val="211"/>
          <c:order val="211"/>
          <c:spPr>
            <a:ln w="28575" cap="rnd">
              <a:solidFill>
                <a:schemeClr val="accent2">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DE-7A07-4A88-AC35-3C2C28434CFA}"/>
            </c:ext>
          </c:extLst>
        </c:ser>
        <c:ser>
          <c:idx val="212"/>
          <c:order val="212"/>
          <c:spPr>
            <a:ln w="28575" cap="rnd">
              <a:solidFill>
                <a:schemeClr val="accent3">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E0-7A07-4A88-AC35-3C2C28434CFA}"/>
            </c:ext>
          </c:extLst>
        </c:ser>
        <c:ser>
          <c:idx val="213"/>
          <c:order val="213"/>
          <c:spPr>
            <a:ln w="28575" cap="rnd">
              <a:solidFill>
                <a:schemeClr val="accent4">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E2-7A07-4A88-AC35-3C2C28434CFA}"/>
            </c:ext>
          </c:extLst>
        </c:ser>
        <c:ser>
          <c:idx val="214"/>
          <c:order val="214"/>
          <c:spPr>
            <a:ln w="28575" cap="rnd">
              <a:solidFill>
                <a:schemeClr val="accent5">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E4-7A07-4A88-AC35-3C2C28434CFA}"/>
            </c:ext>
          </c:extLst>
        </c:ser>
        <c:ser>
          <c:idx val="215"/>
          <c:order val="215"/>
          <c:spPr>
            <a:ln w="28575" cap="rnd">
              <a:solidFill>
                <a:schemeClr val="accent6">
                  <a:lumMod val="50000"/>
                  <a:lumOff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E6-7A07-4A88-AC35-3C2C28434CFA}"/>
            </c:ext>
          </c:extLst>
        </c:ser>
        <c:ser>
          <c:idx val="216"/>
          <c:order val="216"/>
          <c:spPr>
            <a:ln w="28575" cap="rnd">
              <a:solidFill>
                <a:schemeClr val="accent1"/>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E8-7A07-4A88-AC35-3C2C28434CFA}"/>
            </c:ext>
          </c:extLst>
        </c:ser>
        <c:ser>
          <c:idx val="217"/>
          <c:order val="217"/>
          <c:spPr>
            <a:ln w="28575" cap="rnd">
              <a:solidFill>
                <a:schemeClr val="accent2"/>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EA-7A07-4A88-AC35-3C2C28434CFA}"/>
            </c:ext>
          </c:extLst>
        </c:ser>
        <c:ser>
          <c:idx val="218"/>
          <c:order val="218"/>
          <c:spPr>
            <a:ln w="28575" cap="rnd">
              <a:solidFill>
                <a:schemeClr val="accent3"/>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EC-7A07-4A88-AC35-3C2C28434CFA}"/>
            </c:ext>
          </c:extLst>
        </c:ser>
        <c:ser>
          <c:idx val="219"/>
          <c:order val="219"/>
          <c:spPr>
            <a:ln w="28575" cap="rnd">
              <a:solidFill>
                <a:schemeClr val="accent4"/>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EE-7A07-4A88-AC35-3C2C28434CFA}"/>
            </c:ext>
          </c:extLst>
        </c:ser>
        <c:ser>
          <c:idx val="220"/>
          <c:order val="220"/>
          <c:spPr>
            <a:ln w="28575" cap="rnd">
              <a:solidFill>
                <a:schemeClr val="accent5"/>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F0-7A07-4A88-AC35-3C2C28434CFA}"/>
            </c:ext>
          </c:extLst>
        </c:ser>
        <c:ser>
          <c:idx val="221"/>
          <c:order val="221"/>
          <c:spPr>
            <a:ln w="28575" cap="rnd">
              <a:solidFill>
                <a:schemeClr val="accent6"/>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F2-7A07-4A88-AC35-3C2C28434CFA}"/>
            </c:ext>
          </c:extLst>
        </c:ser>
        <c:ser>
          <c:idx val="222"/>
          <c:order val="222"/>
          <c:spPr>
            <a:ln w="28575" cap="rnd">
              <a:solidFill>
                <a:schemeClr val="accent1">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F4-7A07-4A88-AC35-3C2C28434CFA}"/>
            </c:ext>
          </c:extLst>
        </c:ser>
        <c:ser>
          <c:idx val="223"/>
          <c:order val="223"/>
          <c:spPr>
            <a:ln w="28575" cap="rnd">
              <a:solidFill>
                <a:schemeClr val="accent2">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F6-7A07-4A88-AC35-3C2C28434CFA}"/>
            </c:ext>
          </c:extLst>
        </c:ser>
        <c:ser>
          <c:idx val="224"/>
          <c:order val="224"/>
          <c:spPr>
            <a:ln w="28575" cap="rnd">
              <a:solidFill>
                <a:schemeClr val="accent3">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F8-7A07-4A88-AC35-3C2C28434CFA}"/>
            </c:ext>
          </c:extLst>
        </c:ser>
        <c:ser>
          <c:idx val="225"/>
          <c:order val="225"/>
          <c:spPr>
            <a:ln w="28575" cap="rnd">
              <a:solidFill>
                <a:schemeClr val="accent4">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FA-7A07-4A88-AC35-3C2C28434CFA}"/>
            </c:ext>
          </c:extLst>
        </c:ser>
        <c:ser>
          <c:idx val="226"/>
          <c:order val="226"/>
          <c:spPr>
            <a:ln w="28575" cap="rnd">
              <a:solidFill>
                <a:schemeClr val="accent5">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FC-7A07-4A88-AC35-3C2C28434CFA}"/>
            </c:ext>
          </c:extLst>
        </c:ser>
        <c:ser>
          <c:idx val="227"/>
          <c:order val="227"/>
          <c:spPr>
            <a:ln w="28575" cap="rnd">
              <a:solidFill>
                <a:schemeClr val="accent6">
                  <a:lumMod val="6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2FE-7A07-4A88-AC35-3C2C28434CFA}"/>
            </c:ext>
          </c:extLst>
        </c:ser>
        <c:ser>
          <c:idx val="228"/>
          <c:order val="228"/>
          <c:spPr>
            <a:ln w="28575" cap="rnd">
              <a:solidFill>
                <a:schemeClr val="accent1">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00-7A07-4A88-AC35-3C2C28434CFA}"/>
            </c:ext>
          </c:extLst>
        </c:ser>
        <c:ser>
          <c:idx val="229"/>
          <c:order val="229"/>
          <c:spPr>
            <a:ln w="28575" cap="rnd">
              <a:solidFill>
                <a:schemeClr val="accent2">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02-7A07-4A88-AC35-3C2C28434CFA}"/>
            </c:ext>
          </c:extLst>
        </c:ser>
        <c:ser>
          <c:idx val="230"/>
          <c:order val="230"/>
          <c:spPr>
            <a:ln w="28575" cap="rnd">
              <a:solidFill>
                <a:schemeClr val="accent3">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04-7A07-4A88-AC35-3C2C28434CFA}"/>
            </c:ext>
          </c:extLst>
        </c:ser>
        <c:ser>
          <c:idx val="231"/>
          <c:order val="231"/>
          <c:spPr>
            <a:ln w="28575" cap="rnd">
              <a:solidFill>
                <a:schemeClr val="accent4">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06-7A07-4A88-AC35-3C2C28434CFA}"/>
            </c:ext>
          </c:extLst>
        </c:ser>
        <c:ser>
          <c:idx val="232"/>
          <c:order val="232"/>
          <c:spPr>
            <a:ln w="28575" cap="rnd">
              <a:solidFill>
                <a:schemeClr val="accent5">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08-7A07-4A88-AC35-3C2C28434CFA}"/>
            </c:ext>
          </c:extLst>
        </c:ser>
        <c:ser>
          <c:idx val="233"/>
          <c:order val="233"/>
          <c:spPr>
            <a:ln w="28575" cap="rnd">
              <a:solidFill>
                <a:schemeClr val="accent6">
                  <a:lumMod val="80000"/>
                  <a:lumOff val="2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0A-7A07-4A88-AC35-3C2C28434CFA}"/>
            </c:ext>
          </c:extLst>
        </c:ser>
        <c:ser>
          <c:idx val="234"/>
          <c:order val="234"/>
          <c:spPr>
            <a:ln w="28575" cap="rnd">
              <a:solidFill>
                <a:schemeClr val="accent1">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0C-7A07-4A88-AC35-3C2C28434CFA}"/>
            </c:ext>
          </c:extLst>
        </c:ser>
        <c:ser>
          <c:idx val="235"/>
          <c:order val="235"/>
          <c:spPr>
            <a:ln w="28575" cap="rnd">
              <a:solidFill>
                <a:schemeClr val="accent2">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0E-7A07-4A88-AC35-3C2C28434CFA}"/>
            </c:ext>
          </c:extLst>
        </c:ser>
        <c:ser>
          <c:idx val="236"/>
          <c:order val="236"/>
          <c:spPr>
            <a:ln w="28575" cap="rnd">
              <a:solidFill>
                <a:schemeClr val="accent3">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10-7A07-4A88-AC35-3C2C28434CFA}"/>
            </c:ext>
          </c:extLst>
        </c:ser>
        <c:ser>
          <c:idx val="237"/>
          <c:order val="237"/>
          <c:spPr>
            <a:ln w="28575" cap="rnd">
              <a:solidFill>
                <a:schemeClr val="accent4">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12-7A07-4A88-AC35-3C2C28434CFA}"/>
            </c:ext>
          </c:extLst>
        </c:ser>
        <c:ser>
          <c:idx val="238"/>
          <c:order val="238"/>
          <c:spPr>
            <a:ln w="28575" cap="rnd">
              <a:solidFill>
                <a:schemeClr val="accent5">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14-7A07-4A88-AC35-3C2C28434CFA}"/>
            </c:ext>
          </c:extLst>
        </c:ser>
        <c:ser>
          <c:idx val="239"/>
          <c:order val="239"/>
          <c:spPr>
            <a:ln w="28575" cap="rnd">
              <a:solidFill>
                <a:schemeClr val="accent6">
                  <a:lumMod val="8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16-7A07-4A88-AC35-3C2C28434CFA}"/>
            </c:ext>
          </c:extLst>
        </c:ser>
        <c:ser>
          <c:idx val="240"/>
          <c:order val="240"/>
          <c:spPr>
            <a:ln w="28575" cap="rnd">
              <a:solidFill>
                <a:schemeClr val="accent1">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18-7A07-4A88-AC35-3C2C28434CFA}"/>
            </c:ext>
          </c:extLst>
        </c:ser>
        <c:ser>
          <c:idx val="241"/>
          <c:order val="241"/>
          <c:spPr>
            <a:ln w="28575" cap="rnd">
              <a:solidFill>
                <a:schemeClr val="accent2">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1A-7A07-4A88-AC35-3C2C28434CFA}"/>
            </c:ext>
          </c:extLst>
        </c:ser>
        <c:ser>
          <c:idx val="242"/>
          <c:order val="242"/>
          <c:spPr>
            <a:ln w="28575" cap="rnd">
              <a:solidFill>
                <a:schemeClr val="accent3">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1C-7A07-4A88-AC35-3C2C28434CFA}"/>
            </c:ext>
          </c:extLst>
        </c:ser>
        <c:ser>
          <c:idx val="243"/>
          <c:order val="243"/>
          <c:spPr>
            <a:ln w="28575" cap="rnd">
              <a:solidFill>
                <a:schemeClr val="accent4">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1E-7A07-4A88-AC35-3C2C28434CFA}"/>
            </c:ext>
          </c:extLst>
        </c:ser>
        <c:ser>
          <c:idx val="244"/>
          <c:order val="244"/>
          <c:spPr>
            <a:ln w="28575" cap="rnd">
              <a:solidFill>
                <a:schemeClr val="accent5">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20-7A07-4A88-AC35-3C2C28434CFA}"/>
            </c:ext>
          </c:extLst>
        </c:ser>
        <c:ser>
          <c:idx val="245"/>
          <c:order val="245"/>
          <c:spPr>
            <a:ln w="28575" cap="rnd">
              <a:solidFill>
                <a:schemeClr val="accent6">
                  <a:lumMod val="60000"/>
                  <a:lumOff val="4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22-7A07-4A88-AC35-3C2C28434CFA}"/>
            </c:ext>
          </c:extLst>
        </c:ser>
        <c:ser>
          <c:idx val="246"/>
          <c:order val="246"/>
          <c:spPr>
            <a:ln w="28575" cap="rnd">
              <a:solidFill>
                <a:schemeClr val="accent1">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24-7A07-4A88-AC35-3C2C28434CFA}"/>
            </c:ext>
          </c:extLst>
        </c:ser>
        <c:ser>
          <c:idx val="247"/>
          <c:order val="247"/>
          <c:spPr>
            <a:ln w="28575" cap="rnd">
              <a:solidFill>
                <a:schemeClr val="accent2">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26-7A07-4A88-AC35-3C2C28434CFA}"/>
            </c:ext>
          </c:extLst>
        </c:ser>
        <c:ser>
          <c:idx val="248"/>
          <c:order val="248"/>
          <c:spPr>
            <a:ln w="28575" cap="rnd">
              <a:solidFill>
                <a:schemeClr val="accent3">
                  <a:lumMod val="50000"/>
                </a:schemeClr>
              </a:solidFill>
              <a:round/>
            </a:ln>
            <a:effectLst/>
          </c:spPr>
          <c:marker>
            <c:symbol val="none"/>
          </c:marker>
          <c:val>
            <c:numLit>
              <c:formatCode>General</c:formatCode>
              <c:ptCount val="1"/>
              <c:pt idx="0">
                <c:v>1</c:v>
              </c:pt>
            </c:numLit>
          </c:val>
          <c:smooth val="0"/>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328-7A07-4A88-AC35-3C2C28434CFA}"/>
            </c:ext>
          </c:extLst>
        </c:ser>
        <c:dLbls>
          <c:showLegendKey val="0"/>
          <c:showVal val="0"/>
          <c:showCatName val="0"/>
          <c:showSerName val="0"/>
          <c:showPercent val="0"/>
          <c:showBubbleSize val="0"/>
        </c:dLbls>
        <c:smooth val="0"/>
        <c:axId val="163986559"/>
        <c:axId val="163983199"/>
      </c:lineChart>
      <c:dateAx>
        <c:axId val="1639865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83199"/>
        <c:crosses val="autoZero"/>
        <c:auto val="1"/>
        <c:lblOffset val="100"/>
        <c:baseTimeUnit val="days"/>
      </c:dateAx>
      <c:valAx>
        <c:axId val="163983199"/>
        <c:scaling>
          <c:orientation val="minMax"/>
        </c:scaling>
        <c:delete val="0"/>
        <c:axPos val="l"/>
        <c:majorGridlines>
          <c:spPr>
            <a:ln w="9525" cap="flat" cmpd="sng" algn="ctr">
              <a:solidFill>
                <a:schemeClr val="tx1">
                  <a:lumMod val="15000"/>
                  <a:lumOff val="85000"/>
                </a:schemeClr>
              </a:solidFill>
              <a:round/>
            </a:ln>
            <a:effectLst/>
          </c:spPr>
        </c:majorGridlines>
        <c:numFmt formatCode="_([$$-409]* #,##0.00_);_([$$-409]* \(#,##0.00\);_([$$-409]* &quot;-&quot;??_);_(@_)" sourceLinked="1"/>
        <c:majorTickMark val="in"/>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9865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Analysis!$F$4</c:f>
              <c:strCache>
                <c:ptCount val="1"/>
                <c:pt idx="0">
                  <c:v>WALGREENS BOOTS ALLIANCE, INC. (XNAS:WBA)</c:v>
                </c:pt>
              </c:strCache>
            </c:strRef>
          </c:tx>
          <c:spPr>
            <a:ln w="28575" cap="rnd">
              <a:solidFill>
                <a:schemeClr val="accent1"/>
              </a:solidFill>
              <a:round/>
            </a:ln>
            <a:effectLst/>
          </c:spPr>
          <c:marker>
            <c:symbol val="none"/>
          </c:marker>
          <c:cat>
            <c:numRef>
              <c:f>Analysis!$B$9:$B$257</c:f>
              <c:numCache>
                <c:formatCode>m/d/yyyy</c:formatCode>
                <c:ptCount val="249"/>
                <c:pt idx="0">
                  <c:v>45580</c:v>
                </c:pt>
                <c:pt idx="1">
                  <c:v>45581</c:v>
                </c:pt>
                <c:pt idx="2">
                  <c:v>45582</c:v>
                </c:pt>
                <c:pt idx="3">
                  <c:v>45583</c:v>
                </c:pt>
                <c:pt idx="4">
                  <c:v>45586</c:v>
                </c:pt>
                <c:pt idx="5">
                  <c:v>45587</c:v>
                </c:pt>
                <c:pt idx="6">
                  <c:v>45588</c:v>
                </c:pt>
                <c:pt idx="7">
                  <c:v>45589</c:v>
                </c:pt>
                <c:pt idx="8">
                  <c:v>45590</c:v>
                </c:pt>
                <c:pt idx="9">
                  <c:v>45593</c:v>
                </c:pt>
                <c:pt idx="10">
                  <c:v>45594</c:v>
                </c:pt>
                <c:pt idx="11">
                  <c:v>45595</c:v>
                </c:pt>
                <c:pt idx="12">
                  <c:v>45596</c:v>
                </c:pt>
                <c:pt idx="13">
                  <c:v>45597</c:v>
                </c:pt>
                <c:pt idx="14">
                  <c:v>45600</c:v>
                </c:pt>
                <c:pt idx="15">
                  <c:v>45601</c:v>
                </c:pt>
                <c:pt idx="16">
                  <c:v>45602</c:v>
                </c:pt>
                <c:pt idx="17">
                  <c:v>45603</c:v>
                </c:pt>
                <c:pt idx="18">
                  <c:v>45604</c:v>
                </c:pt>
                <c:pt idx="19">
                  <c:v>45607</c:v>
                </c:pt>
                <c:pt idx="20">
                  <c:v>45608</c:v>
                </c:pt>
                <c:pt idx="21">
                  <c:v>45609</c:v>
                </c:pt>
                <c:pt idx="22">
                  <c:v>45610</c:v>
                </c:pt>
                <c:pt idx="23">
                  <c:v>45611</c:v>
                </c:pt>
                <c:pt idx="24">
                  <c:v>45614</c:v>
                </c:pt>
                <c:pt idx="25">
                  <c:v>45615</c:v>
                </c:pt>
                <c:pt idx="26">
                  <c:v>45616</c:v>
                </c:pt>
                <c:pt idx="27">
                  <c:v>45617</c:v>
                </c:pt>
                <c:pt idx="28">
                  <c:v>45618</c:v>
                </c:pt>
                <c:pt idx="29">
                  <c:v>45621</c:v>
                </c:pt>
                <c:pt idx="30">
                  <c:v>45622</c:v>
                </c:pt>
                <c:pt idx="31">
                  <c:v>45623</c:v>
                </c:pt>
                <c:pt idx="32">
                  <c:v>45625</c:v>
                </c:pt>
                <c:pt idx="33">
                  <c:v>45628</c:v>
                </c:pt>
                <c:pt idx="34">
                  <c:v>45629</c:v>
                </c:pt>
                <c:pt idx="35">
                  <c:v>45630</c:v>
                </c:pt>
                <c:pt idx="36">
                  <c:v>45631</c:v>
                </c:pt>
                <c:pt idx="37">
                  <c:v>45632</c:v>
                </c:pt>
                <c:pt idx="38">
                  <c:v>45635</c:v>
                </c:pt>
                <c:pt idx="39">
                  <c:v>45636</c:v>
                </c:pt>
                <c:pt idx="40">
                  <c:v>45637</c:v>
                </c:pt>
                <c:pt idx="41">
                  <c:v>45638</c:v>
                </c:pt>
                <c:pt idx="42">
                  <c:v>45639</c:v>
                </c:pt>
                <c:pt idx="43">
                  <c:v>45642</c:v>
                </c:pt>
                <c:pt idx="44">
                  <c:v>45643</c:v>
                </c:pt>
                <c:pt idx="45">
                  <c:v>45644</c:v>
                </c:pt>
                <c:pt idx="46">
                  <c:v>45645</c:v>
                </c:pt>
                <c:pt idx="47">
                  <c:v>45646</c:v>
                </c:pt>
                <c:pt idx="48">
                  <c:v>45649</c:v>
                </c:pt>
                <c:pt idx="49">
                  <c:v>45650</c:v>
                </c:pt>
                <c:pt idx="50">
                  <c:v>45652</c:v>
                </c:pt>
                <c:pt idx="51">
                  <c:v>45653</c:v>
                </c:pt>
                <c:pt idx="52">
                  <c:v>45656</c:v>
                </c:pt>
                <c:pt idx="53">
                  <c:v>45657</c:v>
                </c:pt>
                <c:pt idx="54">
                  <c:v>45659</c:v>
                </c:pt>
                <c:pt idx="55">
                  <c:v>45660</c:v>
                </c:pt>
                <c:pt idx="56">
                  <c:v>45663</c:v>
                </c:pt>
                <c:pt idx="57">
                  <c:v>45664</c:v>
                </c:pt>
                <c:pt idx="58">
                  <c:v>45665</c:v>
                </c:pt>
                <c:pt idx="59">
                  <c:v>45667</c:v>
                </c:pt>
                <c:pt idx="60">
                  <c:v>45670</c:v>
                </c:pt>
                <c:pt idx="61">
                  <c:v>45671</c:v>
                </c:pt>
                <c:pt idx="62">
                  <c:v>45672</c:v>
                </c:pt>
                <c:pt idx="63">
                  <c:v>45673</c:v>
                </c:pt>
                <c:pt idx="64">
                  <c:v>45674</c:v>
                </c:pt>
                <c:pt idx="65">
                  <c:v>45678</c:v>
                </c:pt>
                <c:pt idx="66">
                  <c:v>45679</c:v>
                </c:pt>
                <c:pt idx="67">
                  <c:v>45680</c:v>
                </c:pt>
                <c:pt idx="68">
                  <c:v>45681</c:v>
                </c:pt>
                <c:pt idx="69">
                  <c:v>45684</c:v>
                </c:pt>
                <c:pt idx="70">
                  <c:v>45685</c:v>
                </c:pt>
                <c:pt idx="71">
                  <c:v>45686</c:v>
                </c:pt>
                <c:pt idx="72">
                  <c:v>45687</c:v>
                </c:pt>
                <c:pt idx="73">
                  <c:v>45688</c:v>
                </c:pt>
                <c:pt idx="74">
                  <c:v>45691</c:v>
                </c:pt>
                <c:pt idx="75">
                  <c:v>45692</c:v>
                </c:pt>
                <c:pt idx="76">
                  <c:v>45693</c:v>
                </c:pt>
                <c:pt idx="77">
                  <c:v>45694</c:v>
                </c:pt>
                <c:pt idx="78">
                  <c:v>45695</c:v>
                </c:pt>
                <c:pt idx="79">
                  <c:v>45698</c:v>
                </c:pt>
                <c:pt idx="80">
                  <c:v>45699</c:v>
                </c:pt>
                <c:pt idx="81">
                  <c:v>45700</c:v>
                </c:pt>
                <c:pt idx="82">
                  <c:v>45701</c:v>
                </c:pt>
                <c:pt idx="83">
                  <c:v>45702</c:v>
                </c:pt>
                <c:pt idx="84">
                  <c:v>45706</c:v>
                </c:pt>
                <c:pt idx="85">
                  <c:v>45707</c:v>
                </c:pt>
                <c:pt idx="86">
                  <c:v>45708</c:v>
                </c:pt>
                <c:pt idx="87">
                  <c:v>45709</c:v>
                </c:pt>
                <c:pt idx="88">
                  <c:v>45712</c:v>
                </c:pt>
                <c:pt idx="89">
                  <c:v>45713</c:v>
                </c:pt>
                <c:pt idx="90">
                  <c:v>45714</c:v>
                </c:pt>
                <c:pt idx="91">
                  <c:v>45715</c:v>
                </c:pt>
                <c:pt idx="92">
                  <c:v>45716</c:v>
                </c:pt>
                <c:pt idx="93">
                  <c:v>45719</c:v>
                </c:pt>
                <c:pt idx="94">
                  <c:v>45720</c:v>
                </c:pt>
                <c:pt idx="95">
                  <c:v>45721</c:v>
                </c:pt>
                <c:pt idx="96">
                  <c:v>45722</c:v>
                </c:pt>
                <c:pt idx="97">
                  <c:v>45723</c:v>
                </c:pt>
                <c:pt idx="98">
                  <c:v>45726</c:v>
                </c:pt>
                <c:pt idx="99">
                  <c:v>45727</c:v>
                </c:pt>
                <c:pt idx="100">
                  <c:v>45728</c:v>
                </c:pt>
                <c:pt idx="101">
                  <c:v>45729</c:v>
                </c:pt>
                <c:pt idx="102">
                  <c:v>45730</c:v>
                </c:pt>
                <c:pt idx="103">
                  <c:v>45733</c:v>
                </c:pt>
                <c:pt idx="104">
                  <c:v>45734</c:v>
                </c:pt>
                <c:pt idx="105">
                  <c:v>45735</c:v>
                </c:pt>
                <c:pt idx="106">
                  <c:v>45736</c:v>
                </c:pt>
                <c:pt idx="107">
                  <c:v>45737</c:v>
                </c:pt>
                <c:pt idx="108">
                  <c:v>45740</c:v>
                </c:pt>
                <c:pt idx="109">
                  <c:v>45741</c:v>
                </c:pt>
                <c:pt idx="110">
                  <c:v>45742</c:v>
                </c:pt>
                <c:pt idx="111">
                  <c:v>45743</c:v>
                </c:pt>
                <c:pt idx="112">
                  <c:v>45744</c:v>
                </c:pt>
                <c:pt idx="113">
                  <c:v>45747</c:v>
                </c:pt>
                <c:pt idx="114">
                  <c:v>45748</c:v>
                </c:pt>
                <c:pt idx="115">
                  <c:v>45749</c:v>
                </c:pt>
                <c:pt idx="116">
                  <c:v>45750</c:v>
                </c:pt>
                <c:pt idx="117">
                  <c:v>45751</c:v>
                </c:pt>
                <c:pt idx="118">
                  <c:v>45754</c:v>
                </c:pt>
                <c:pt idx="119">
                  <c:v>45755</c:v>
                </c:pt>
                <c:pt idx="120">
                  <c:v>45756</c:v>
                </c:pt>
                <c:pt idx="121">
                  <c:v>45757</c:v>
                </c:pt>
                <c:pt idx="122">
                  <c:v>45758</c:v>
                </c:pt>
                <c:pt idx="123">
                  <c:v>45761</c:v>
                </c:pt>
              </c:numCache>
            </c:numRef>
          </c:cat>
          <c:val>
            <c:numRef>
              <c:f>Analysis!$F$9:$F$258</c:f>
              <c:numCache>
                <c:formatCode>_([$$-409]* #,##0.00_);_([$$-409]* \(#,##0.00\);_([$$-409]* "-"??_);_(@_)</c:formatCode>
                <c:ptCount val="250"/>
                <c:pt idx="0">
                  <c:v>10.42</c:v>
                </c:pt>
                <c:pt idx="1">
                  <c:v>11.07</c:v>
                </c:pt>
                <c:pt idx="2">
                  <c:v>10.66</c:v>
                </c:pt>
                <c:pt idx="3">
                  <c:v>10.79</c:v>
                </c:pt>
                <c:pt idx="4">
                  <c:v>10.45</c:v>
                </c:pt>
                <c:pt idx="5">
                  <c:v>9.73</c:v>
                </c:pt>
                <c:pt idx="6">
                  <c:v>9.35</c:v>
                </c:pt>
                <c:pt idx="7">
                  <c:v>9.34</c:v>
                </c:pt>
                <c:pt idx="8">
                  <c:v>9.26</c:v>
                </c:pt>
                <c:pt idx="9">
                  <c:v>9.44</c:v>
                </c:pt>
                <c:pt idx="10">
                  <c:v>9.35</c:v>
                </c:pt>
                <c:pt idx="11">
                  <c:v>9.24</c:v>
                </c:pt>
                <c:pt idx="12">
                  <c:v>9.4600000000000009</c:v>
                </c:pt>
                <c:pt idx="13">
                  <c:v>9.4600000000000009</c:v>
                </c:pt>
                <c:pt idx="14">
                  <c:v>9.33</c:v>
                </c:pt>
                <c:pt idx="15">
                  <c:v>9.6199999999999992</c:v>
                </c:pt>
                <c:pt idx="16">
                  <c:v>9.23</c:v>
                </c:pt>
                <c:pt idx="17">
                  <c:v>9.27</c:v>
                </c:pt>
                <c:pt idx="18">
                  <c:v>9.07</c:v>
                </c:pt>
                <c:pt idx="19">
                  <c:v>9.39</c:v>
                </c:pt>
                <c:pt idx="20">
                  <c:v>9.01</c:v>
                </c:pt>
                <c:pt idx="21">
                  <c:v>9.0299999999999994</c:v>
                </c:pt>
                <c:pt idx="22">
                  <c:v>8.81</c:v>
                </c:pt>
                <c:pt idx="23">
                  <c:v>8.48</c:v>
                </c:pt>
                <c:pt idx="24">
                  <c:v>8.66</c:v>
                </c:pt>
                <c:pt idx="25">
                  <c:v>8.2899999999999991</c:v>
                </c:pt>
                <c:pt idx="26">
                  <c:v>8.24</c:v>
                </c:pt>
                <c:pt idx="27">
                  <c:v>8.3000000000000007</c:v>
                </c:pt>
                <c:pt idx="28">
                  <c:v>8.66</c:v>
                </c:pt>
                <c:pt idx="29">
                  <c:v>9.06</c:v>
                </c:pt>
                <c:pt idx="30">
                  <c:v>8.73</c:v>
                </c:pt>
                <c:pt idx="31">
                  <c:v>9.06</c:v>
                </c:pt>
                <c:pt idx="32">
                  <c:v>9.02</c:v>
                </c:pt>
                <c:pt idx="33">
                  <c:v>8.98</c:v>
                </c:pt>
                <c:pt idx="34">
                  <c:v>8.9499999999999993</c:v>
                </c:pt>
                <c:pt idx="35">
                  <c:v>8.74</c:v>
                </c:pt>
                <c:pt idx="36">
                  <c:v>8.4700000000000006</c:v>
                </c:pt>
                <c:pt idx="37">
                  <c:v>8.56</c:v>
                </c:pt>
                <c:pt idx="38">
                  <c:v>8.85</c:v>
                </c:pt>
                <c:pt idx="39">
                  <c:v>10.42</c:v>
                </c:pt>
                <c:pt idx="40">
                  <c:v>9.84</c:v>
                </c:pt>
                <c:pt idx="41">
                  <c:v>9.73</c:v>
                </c:pt>
                <c:pt idx="42">
                  <c:v>10.39</c:v>
                </c:pt>
                <c:pt idx="43">
                  <c:v>10.18</c:v>
                </c:pt>
                <c:pt idx="44">
                  <c:v>9.9700000000000006</c:v>
                </c:pt>
                <c:pt idx="45">
                  <c:v>9.6999999999999993</c:v>
                </c:pt>
                <c:pt idx="46">
                  <c:v>9.35</c:v>
                </c:pt>
                <c:pt idx="47">
                  <c:v>9.5500000000000007</c:v>
                </c:pt>
                <c:pt idx="48">
                  <c:v>9.3000000000000007</c:v>
                </c:pt>
                <c:pt idx="49">
                  <c:v>9.19</c:v>
                </c:pt>
                <c:pt idx="50">
                  <c:v>9.68</c:v>
                </c:pt>
                <c:pt idx="51">
                  <c:v>9.6199999999999992</c:v>
                </c:pt>
                <c:pt idx="52">
                  <c:v>9.26</c:v>
                </c:pt>
                <c:pt idx="53">
                  <c:v>9.33</c:v>
                </c:pt>
                <c:pt idx="54">
                  <c:v>9.19</c:v>
                </c:pt>
                <c:pt idx="55">
                  <c:v>9.5</c:v>
                </c:pt>
                <c:pt idx="56">
                  <c:v>9.4700000000000006</c:v>
                </c:pt>
                <c:pt idx="57">
                  <c:v>9.67</c:v>
                </c:pt>
                <c:pt idx="58">
                  <c:v>9.2200000000000006</c:v>
                </c:pt>
                <c:pt idx="59">
                  <c:v>11.76</c:v>
                </c:pt>
                <c:pt idx="60">
                  <c:v>11.9</c:v>
                </c:pt>
                <c:pt idx="61">
                  <c:v>12.24</c:v>
                </c:pt>
                <c:pt idx="62">
                  <c:v>12.53</c:v>
                </c:pt>
                <c:pt idx="63">
                  <c:v>12.93</c:v>
                </c:pt>
                <c:pt idx="64">
                  <c:v>12.52</c:v>
                </c:pt>
                <c:pt idx="65">
                  <c:v>11.37</c:v>
                </c:pt>
                <c:pt idx="66">
                  <c:v>11.62</c:v>
                </c:pt>
                <c:pt idx="67">
                  <c:v>11.74</c:v>
                </c:pt>
                <c:pt idx="68">
                  <c:v>11.87</c:v>
                </c:pt>
                <c:pt idx="69">
                  <c:v>11.34</c:v>
                </c:pt>
                <c:pt idx="70">
                  <c:v>10.89</c:v>
                </c:pt>
                <c:pt idx="71">
                  <c:v>11.25</c:v>
                </c:pt>
                <c:pt idx="72">
                  <c:v>11.46</c:v>
                </c:pt>
                <c:pt idx="73">
                  <c:v>10.28</c:v>
                </c:pt>
                <c:pt idx="74">
                  <c:v>9.76</c:v>
                </c:pt>
                <c:pt idx="75">
                  <c:v>9.89</c:v>
                </c:pt>
                <c:pt idx="76">
                  <c:v>10.119999999999999</c:v>
                </c:pt>
                <c:pt idx="77">
                  <c:v>10.050000000000001</c:v>
                </c:pt>
                <c:pt idx="78">
                  <c:v>10.119999999999999</c:v>
                </c:pt>
                <c:pt idx="79">
                  <c:v>9.9700000000000006</c:v>
                </c:pt>
                <c:pt idx="80">
                  <c:v>9.36</c:v>
                </c:pt>
                <c:pt idx="81">
                  <c:v>9.4700000000000006</c:v>
                </c:pt>
                <c:pt idx="82">
                  <c:v>9.75</c:v>
                </c:pt>
                <c:pt idx="83">
                  <c:v>9.6999999999999993</c:v>
                </c:pt>
                <c:pt idx="84">
                  <c:v>11.06</c:v>
                </c:pt>
                <c:pt idx="85">
                  <c:v>10.79</c:v>
                </c:pt>
                <c:pt idx="86">
                  <c:v>10.51</c:v>
                </c:pt>
                <c:pt idx="87">
                  <c:v>10.16</c:v>
                </c:pt>
                <c:pt idx="88">
                  <c:v>10.82</c:v>
                </c:pt>
                <c:pt idx="89">
                  <c:v>11.38</c:v>
                </c:pt>
                <c:pt idx="90">
                  <c:v>11.04</c:v>
                </c:pt>
                <c:pt idx="91">
                  <c:v>11.23</c:v>
                </c:pt>
                <c:pt idx="92">
                  <c:v>10.68</c:v>
                </c:pt>
                <c:pt idx="93">
                  <c:v>10.26</c:v>
                </c:pt>
                <c:pt idx="94">
                  <c:v>10.835000000000001</c:v>
                </c:pt>
                <c:pt idx="95">
                  <c:v>10.75</c:v>
                </c:pt>
                <c:pt idx="96">
                  <c:v>10.6</c:v>
                </c:pt>
                <c:pt idx="97">
                  <c:v>11.39</c:v>
                </c:pt>
                <c:pt idx="98">
                  <c:v>11.28</c:v>
                </c:pt>
                <c:pt idx="99">
                  <c:v>11.21</c:v>
                </c:pt>
                <c:pt idx="100">
                  <c:v>11.2</c:v>
                </c:pt>
                <c:pt idx="101">
                  <c:v>11.26</c:v>
                </c:pt>
                <c:pt idx="102">
                  <c:v>11.23</c:v>
                </c:pt>
                <c:pt idx="103">
                  <c:v>11.26</c:v>
                </c:pt>
                <c:pt idx="104">
                  <c:v>11.17</c:v>
                </c:pt>
                <c:pt idx="105">
                  <c:v>11.16</c:v>
                </c:pt>
                <c:pt idx="106">
                  <c:v>11.12</c:v>
                </c:pt>
                <c:pt idx="107">
                  <c:v>11.1</c:v>
                </c:pt>
                <c:pt idx="108">
                  <c:v>11.15</c:v>
                </c:pt>
                <c:pt idx="109">
                  <c:v>11.12</c:v>
                </c:pt>
                <c:pt idx="110">
                  <c:v>11.1</c:v>
                </c:pt>
                <c:pt idx="111">
                  <c:v>11.16</c:v>
                </c:pt>
                <c:pt idx="112">
                  <c:v>11.19</c:v>
                </c:pt>
                <c:pt idx="113">
                  <c:v>11.17</c:v>
                </c:pt>
                <c:pt idx="114">
                  <c:v>11.16</c:v>
                </c:pt>
                <c:pt idx="115">
                  <c:v>11.18</c:v>
                </c:pt>
                <c:pt idx="116">
                  <c:v>11.06</c:v>
                </c:pt>
                <c:pt idx="117">
                  <c:v>10.68</c:v>
                </c:pt>
                <c:pt idx="118">
                  <c:v>10.71</c:v>
                </c:pt>
                <c:pt idx="119">
                  <c:v>10.59</c:v>
                </c:pt>
                <c:pt idx="120">
                  <c:v>10.78</c:v>
                </c:pt>
                <c:pt idx="121">
                  <c:v>10.69</c:v>
                </c:pt>
                <c:pt idx="122">
                  <c:v>10.78</c:v>
                </c:pt>
                <c:pt idx="123">
                  <c:v>10.91</c:v>
                </c:pt>
              </c:numCache>
            </c:numRef>
          </c:val>
          <c:smooth val="0"/>
          <c:extLst>
            <c:ext xmlns:c16="http://schemas.microsoft.com/office/drawing/2014/chart" uri="{C3380CC4-5D6E-409C-BE32-E72D297353CC}">
              <c16:uniqueId val="{00000000-671D-4343-AD8F-DA3C160B90C3}"/>
            </c:ext>
          </c:extLst>
        </c:ser>
        <c:dLbls>
          <c:showLegendKey val="0"/>
          <c:showVal val="0"/>
          <c:showCatName val="0"/>
          <c:showSerName val="0"/>
          <c:showPercent val="0"/>
          <c:showBubbleSize val="0"/>
        </c:dLbls>
        <c:upDownBars>
          <c:gapWidth val="150"/>
          <c:upBars>
            <c:spPr>
              <a:solidFill>
                <a:schemeClr val="lt1"/>
              </a:solidFill>
              <a:ln w="9525">
                <a:solidFill>
                  <a:schemeClr val="tx1">
                    <a:lumMod val="15000"/>
                    <a:lumOff val="85000"/>
                  </a:schemeClr>
                </a:solidFill>
              </a:ln>
              <a:effectLst/>
            </c:spPr>
          </c:upBars>
          <c:downBars>
            <c:spPr>
              <a:solidFill>
                <a:schemeClr val="dk1">
                  <a:lumMod val="65000"/>
                  <a:lumOff val="35000"/>
                </a:schemeClr>
              </a:solidFill>
              <a:ln w="9525">
                <a:solidFill>
                  <a:schemeClr val="tx1">
                    <a:lumMod val="65000"/>
                    <a:lumOff val="35000"/>
                  </a:schemeClr>
                </a:solidFill>
              </a:ln>
              <a:effectLst/>
            </c:spPr>
          </c:downBars>
        </c:upDownBars>
        <c:marker val="1"/>
        <c:smooth val="0"/>
        <c:axId val="297953791"/>
        <c:axId val="297954271"/>
        <c:extLst>
          <c:ext xmlns:c15="http://schemas.microsoft.com/office/drawing/2012/chart" uri="{02D57815-91ED-43cb-92C2-25804820EDAC}">
            <c15:filteredLineSeries>
              <c15:ser>
                <c:idx val="1"/>
                <c:order val="1"/>
                <c:tx>
                  <c:strRef>
                    <c:extLst>
                      <c:ext uri="{02D57815-91ED-43cb-92C2-25804820EDAC}">
                        <c15:formulaRef>
                          <c15:sqref>Analysis!$D$8</c15:sqref>
                        </c15:formulaRef>
                      </c:ext>
                    </c:extLst>
                    <c:strCache>
                      <c:ptCount val="1"/>
                    </c:strCache>
                  </c:strRef>
                </c:tx>
                <c:spPr>
                  <a:ln w="28575" cap="rnd">
                    <a:solidFill>
                      <a:schemeClr val="accent2"/>
                    </a:solidFill>
                    <a:round/>
                  </a:ln>
                  <a:effectLst/>
                </c:spPr>
                <c:marker>
                  <c:symbol val="none"/>
                </c:marker>
                <c:cat>
                  <c:numRef>
                    <c:extLst>
                      <c:ext uri="{02D57815-91ED-43cb-92C2-25804820EDAC}">
                        <c15:formulaRef>
                          <c15:sqref>Analysis!$B$9:$B$257</c15:sqref>
                        </c15:formulaRef>
                      </c:ext>
                    </c:extLst>
                    <c:numCache>
                      <c:formatCode>m/d/yyyy</c:formatCode>
                      <c:ptCount val="249"/>
                      <c:pt idx="0">
                        <c:v>45580</c:v>
                      </c:pt>
                      <c:pt idx="1">
                        <c:v>45581</c:v>
                      </c:pt>
                      <c:pt idx="2">
                        <c:v>45582</c:v>
                      </c:pt>
                      <c:pt idx="3">
                        <c:v>45583</c:v>
                      </c:pt>
                      <c:pt idx="4">
                        <c:v>45586</c:v>
                      </c:pt>
                      <c:pt idx="5">
                        <c:v>45587</c:v>
                      </c:pt>
                      <c:pt idx="6">
                        <c:v>45588</c:v>
                      </c:pt>
                      <c:pt idx="7">
                        <c:v>45589</c:v>
                      </c:pt>
                      <c:pt idx="8">
                        <c:v>45590</c:v>
                      </c:pt>
                      <c:pt idx="9">
                        <c:v>45593</c:v>
                      </c:pt>
                      <c:pt idx="10">
                        <c:v>45594</c:v>
                      </c:pt>
                      <c:pt idx="11">
                        <c:v>45595</c:v>
                      </c:pt>
                      <c:pt idx="12">
                        <c:v>45596</c:v>
                      </c:pt>
                      <c:pt idx="13">
                        <c:v>45597</c:v>
                      </c:pt>
                      <c:pt idx="14">
                        <c:v>45600</c:v>
                      </c:pt>
                      <c:pt idx="15">
                        <c:v>45601</c:v>
                      </c:pt>
                      <c:pt idx="16">
                        <c:v>45602</c:v>
                      </c:pt>
                      <c:pt idx="17">
                        <c:v>45603</c:v>
                      </c:pt>
                      <c:pt idx="18">
                        <c:v>45604</c:v>
                      </c:pt>
                      <c:pt idx="19">
                        <c:v>45607</c:v>
                      </c:pt>
                      <c:pt idx="20">
                        <c:v>45608</c:v>
                      </c:pt>
                      <c:pt idx="21">
                        <c:v>45609</c:v>
                      </c:pt>
                      <c:pt idx="22">
                        <c:v>45610</c:v>
                      </c:pt>
                      <c:pt idx="23">
                        <c:v>45611</c:v>
                      </c:pt>
                      <c:pt idx="24">
                        <c:v>45614</c:v>
                      </c:pt>
                      <c:pt idx="25">
                        <c:v>45615</c:v>
                      </c:pt>
                      <c:pt idx="26">
                        <c:v>45616</c:v>
                      </c:pt>
                      <c:pt idx="27">
                        <c:v>45617</c:v>
                      </c:pt>
                      <c:pt idx="28">
                        <c:v>45618</c:v>
                      </c:pt>
                      <c:pt idx="29">
                        <c:v>45621</c:v>
                      </c:pt>
                      <c:pt idx="30">
                        <c:v>45622</c:v>
                      </c:pt>
                      <c:pt idx="31">
                        <c:v>45623</c:v>
                      </c:pt>
                      <c:pt idx="32">
                        <c:v>45625</c:v>
                      </c:pt>
                      <c:pt idx="33">
                        <c:v>45628</c:v>
                      </c:pt>
                      <c:pt idx="34">
                        <c:v>45629</c:v>
                      </c:pt>
                      <c:pt idx="35">
                        <c:v>45630</c:v>
                      </c:pt>
                      <c:pt idx="36">
                        <c:v>45631</c:v>
                      </c:pt>
                      <c:pt idx="37">
                        <c:v>45632</c:v>
                      </c:pt>
                      <c:pt idx="38">
                        <c:v>45635</c:v>
                      </c:pt>
                      <c:pt idx="39">
                        <c:v>45636</c:v>
                      </c:pt>
                      <c:pt idx="40">
                        <c:v>45637</c:v>
                      </c:pt>
                      <c:pt idx="41">
                        <c:v>45638</c:v>
                      </c:pt>
                      <c:pt idx="42">
                        <c:v>45639</c:v>
                      </c:pt>
                      <c:pt idx="43">
                        <c:v>45642</c:v>
                      </c:pt>
                      <c:pt idx="44">
                        <c:v>45643</c:v>
                      </c:pt>
                      <c:pt idx="45">
                        <c:v>45644</c:v>
                      </c:pt>
                      <c:pt idx="46">
                        <c:v>45645</c:v>
                      </c:pt>
                      <c:pt idx="47">
                        <c:v>45646</c:v>
                      </c:pt>
                      <c:pt idx="48">
                        <c:v>45649</c:v>
                      </c:pt>
                      <c:pt idx="49">
                        <c:v>45650</c:v>
                      </c:pt>
                      <c:pt idx="50">
                        <c:v>45652</c:v>
                      </c:pt>
                      <c:pt idx="51">
                        <c:v>45653</c:v>
                      </c:pt>
                      <c:pt idx="52">
                        <c:v>45656</c:v>
                      </c:pt>
                      <c:pt idx="53">
                        <c:v>45657</c:v>
                      </c:pt>
                      <c:pt idx="54">
                        <c:v>45659</c:v>
                      </c:pt>
                      <c:pt idx="55">
                        <c:v>45660</c:v>
                      </c:pt>
                      <c:pt idx="56">
                        <c:v>45663</c:v>
                      </c:pt>
                      <c:pt idx="57">
                        <c:v>45664</c:v>
                      </c:pt>
                      <c:pt idx="58">
                        <c:v>45665</c:v>
                      </c:pt>
                      <c:pt idx="59">
                        <c:v>45667</c:v>
                      </c:pt>
                      <c:pt idx="60">
                        <c:v>45670</c:v>
                      </c:pt>
                      <c:pt idx="61">
                        <c:v>45671</c:v>
                      </c:pt>
                      <c:pt idx="62">
                        <c:v>45672</c:v>
                      </c:pt>
                      <c:pt idx="63">
                        <c:v>45673</c:v>
                      </c:pt>
                      <c:pt idx="64">
                        <c:v>45674</c:v>
                      </c:pt>
                      <c:pt idx="65">
                        <c:v>45678</c:v>
                      </c:pt>
                      <c:pt idx="66">
                        <c:v>45679</c:v>
                      </c:pt>
                      <c:pt idx="67">
                        <c:v>45680</c:v>
                      </c:pt>
                      <c:pt idx="68">
                        <c:v>45681</c:v>
                      </c:pt>
                      <c:pt idx="69">
                        <c:v>45684</c:v>
                      </c:pt>
                      <c:pt idx="70">
                        <c:v>45685</c:v>
                      </c:pt>
                      <c:pt idx="71">
                        <c:v>45686</c:v>
                      </c:pt>
                      <c:pt idx="72">
                        <c:v>45687</c:v>
                      </c:pt>
                      <c:pt idx="73">
                        <c:v>45688</c:v>
                      </c:pt>
                      <c:pt idx="74">
                        <c:v>45691</c:v>
                      </c:pt>
                      <c:pt idx="75">
                        <c:v>45692</c:v>
                      </c:pt>
                      <c:pt idx="76">
                        <c:v>45693</c:v>
                      </c:pt>
                      <c:pt idx="77">
                        <c:v>45694</c:v>
                      </c:pt>
                      <c:pt idx="78">
                        <c:v>45695</c:v>
                      </c:pt>
                      <c:pt idx="79">
                        <c:v>45698</c:v>
                      </c:pt>
                      <c:pt idx="80">
                        <c:v>45699</c:v>
                      </c:pt>
                      <c:pt idx="81">
                        <c:v>45700</c:v>
                      </c:pt>
                      <c:pt idx="82">
                        <c:v>45701</c:v>
                      </c:pt>
                      <c:pt idx="83">
                        <c:v>45702</c:v>
                      </c:pt>
                      <c:pt idx="84">
                        <c:v>45706</c:v>
                      </c:pt>
                      <c:pt idx="85">
                        <c:v>45707</c:v>
                      </c:pt>
                      <c:pt idx="86">
                        <c:v>45708</c:v>
                      </c:pt>
                      <c:pt idx="87">
                        <c:v>45709</c:v>
                      </c:pt>
                      <c:pt idx="88">
                        <c:v>45712</c:v>
                      </c:pt>
                      <c:pt idx="89">
                        <c:v>45713</c:v>
                      </c:pt>
                      <c:pt idx="90">
                        <c:v>45714</c:v>
                      </c:pt>
                      <c:pt idx="91">
                        <c:v>45715</c:v>
                      </c:pt>
                      <c:pt idx="92">
                        <c:v>45716</c:v>
                      </c:pt>
                      <c:pt idx="93">
                        <c:v>45719</c:v>
                      </c:pt>
                      <c:pt idx="94">
                        <c:v>45720</c:v>
                      </c:pt>
                      <c:pt idx="95">
                        <c:v>45721</c:v>
                      </c:pt>
                      <c:pt idx="96">
                        <c:v>45722</c:v>
                      </c:pt>
                      <c:pt idx="97">
                        <c:v>45723</c:v>
                      </c:pt>
                      <c:pt idx="98">
                        <c:v>45726</c:v>
                      </c:pt>
                      <c:pt idx="99">
                        <c:v>45727</c:v>
                      </c:pt>
                      <c:pt idx="100">
                        <c:v>45728</c:v>
                      </c:pt>
                      <c:pt idx="101">
                        <c:v>45729</c:v>
                      </c:pt>
                      <c:pt idx="102">
                        <c:v>45730</c:v>
                      </c:pt>
                      <c:pt idx="103">
                        <c:v>45733</c:v>
                      </c:pt>
                      <c:pt idx="104">
                        <c:v>45734</c:v>
                      </c:pt>
                      <c:pt idx="105">
                        <c:v>45735</c:v>
                      </c:pt>
                      <c:pt idx="106">
                        <c:v>45736</c:v>
                      </c:pt>
                      <c:pt idx="107">
                        <c:v>45737</c:v>
                      </c:pt>
                      <c:pt idx="108">
                        <c:v>45740</c:v>
                      </c:pt>
                      <c:pt idx="109">
                        <c:v>45741</c:v>
                      </c:pt>
                      <c:pt idx="110">
                        <c:v>45742</c:v>
                      </c:pt>
                      <c:pt idx="111">
                        <c:v>45743</c:v>
                      </c:pt>
                      <c:pt idx="112">
                        <c:v>45744</c:v>
                      </c:pt>
                      <c:pt idx="113">
                        <c:v>45747</c:v>
                      </c:pt>
                      <c:pt idx="114">
                        <c:v>45748</c:v>
                      </c:pt>
                      <c:pt idx="115">
                        <c:v>45749</c:v>
                      </c:pt>
                      <c:pt idx="116">
                        <c:v>45750</c:v>
                      </c:pt>
                      <c:pt idx="117">
                        <c:v>45751</c:v>
                      </c:pt>
                      <c:pt idx="118">
                        <c:v>45754</c:v>
                      </c:pt>
                      <c:pt idx="119">
                        <c:v>45755</c:v>
                      </c:pt>
                      <c:pt idx="120">
                        <c:v>45756</c:v>
                      </c:pt>
                      <c:pt idx="121">
                        <c:v>45757</c:v>
                      </c:pt>
                      <c:pt idx="122">
                        <c:v>45758</c:v>
                      </c:pt>
                      <c:pt idx="123">
                        <c:v>45761</c:v>
                      </c:pt>
                    </c:numCache>
                  </c:numRef>
                </c:cat>
                <c:val>
                  <c:numRef>
                    <c:extLst>
                      <c:ext uri="{02D57815-91ED-43cb-92C2-25804820EDAC}">
                        <c15:formulaRef>
                          <c15:sqref>Analysis!$D$9:$D$257</c15:sqref>
                        </c15:formulaRef>
                      </c:ext>
                    </c:extLst>
                    <c:numCache>
                      <c:formatCode>General</c:formatCode>
                      <c:ptCount val="249"/>
                    </c:numCache>
                  </c:numRef>
                </c:val>
                <c:smooth val="0"/>
                <c:extLst>
                  <c:ext xmlns:c16="http://schemas.microsoft.com/office/drawing/2014/chart" uri="{C3380CC4-5D6E-409C-BE32-E72D297353CC}">
                    <c16:uniqueId val="{00000003-671D-4343-AD8F-DA3C160B90C3}"/>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Analysis!$E$8</c15:sqref>
                        </c15:formulaRef>
                      </c:ext>
                    </c:extLst>
                    <c:strCache>
                      <c:ptCount val="1"/>
                      <c:pt idx="0">
                        <c:v>Date</c:v>
                      </c:pt>
                    </c:strCache>
                  </c:strRef>
                </c:tx>
                <c:spPr>
                  <a:ln w="28575" cap="rnd">
                    <a:solidFill>
                      <a:schemeClr val="accent3"/>
                    </a:solidFill>
                    <a:round/>
                  </a:ln>
                  <a:effectLst/>
                </c:spPr>
                <c:marker>
                  <c:symbol val="none"/>
                </c:marker>
                <c:cat>
                  <c:numRef>
                    <c:extLst xmlns:c15="http://schemas.microsoft.com/office/drawing/2012/chart">
                      <c:ext xmlns:c15="http://schemas.microsoft.com/office/drawing/2012/chart" uri="{02D57815-91ED-43cb-92C2-25804820EDAC}">
                        <c15:formulaRef>
                          <c15:sqref>Analysis!$B$9:$B$257</c15:sqref>
                        </c15:formulaRef>
                      </c:ext>
                    </c:extLst>
                    <c:numCache>
                      <c:formatCode>m/d/yyyy</c:formatCode>
                      <c:ptCount val="249"/>
                      <c:pt idx="0">
                        <c:v>45580</c:v>
                      </c:pt>
                      <c:pt idx="1">
                        <c:v>45581</c:v>
                      </c:pt>
                      <c:pt idx="2">
                        <c:v>45582</c:v>
                      </c:pt>
                      <c:pt idx="3">
                        <c:v>45583</c:v>
                      </c:pt>
                      <c:pt idx="4">
                        <c:v>45586</c:v>
                      </c:pt>
                      <c:pt idx="5">
                        <c:v>45587</c:v>
                      </c:pt>
                      <c:pt idx="6">
                        <c:v>45588</c:v>
                      </c:pt>
                      <c:pt idx="7">
                        <c:v>45589</c:v>
                      </c:pt>
                      <c:pt idx="8">
                        <c:v>45590</c:v>
                      </c:pt>
                      <c:pt idx="9">
                        <c:v>45593</c:v>
                      </c:pt>
                      <c:pt idx="10">
                        <c:v>45594</c:v>
                      </c:pt>
                      <c:pt idx="11">
                        <c:v>45595</c:v>
                      </c:pt>
                      <c:pt idx="12">
                        <c:v>45596</c:v>
                      </c:pt>
                      <c:pt idx="13">
                        <c:v>45597</c:v>
                      </c:pt>
                      <c:pt idx="14">
                        <c:v>45600</c:v>
                      </c:pt>
                      <c:pt idx="15">
                        <c:v>45601</c:v>
                      </c:pt>
                      <c:pt idx="16">
                        <c:v>45602</c:v>
                      </c:pt>
                      <c:pt idx="17">
                        <c:v>45603</c:v>
                      </c:pt>
                      <c:pt idx="18">
                        <c:v>45604</c:v>
                      </c:pt>
                      <c:pt idx="19">
                        <c:v>45607</c:v>
                      </c:pt>
                      <c:pt idx="20">
                        <c:v>45608</c:v>
                      </c:pt>
                      <c:pt idx="21">
                        <c:v>45609</c:v>
                      </c:pt>
                      <c:pt idx="22">
                        <c:v>45610</c:v>
                      </c:pt>
                      <c:pt idx="23">
                        <c:v>45611</c:v>
                      </c:pt>
                      <c:pt idx="24">
                        <c:v>45614</c:v>
                      </c:pt>
                      <c:pt idx="25">
                        <c:v>45615</c:v>
                      </c:pt>
                      <c:pt idx="26">
                        <c:v>45616</c:v>
                      </c:pt>
                      <c:pt idx="27">
                        <c:v>45617</c:v>
                      </c:pt>
                      <c:pt idx="28">
                        <c:v>45618</c:v>
                      </c:pt>
                      <c:pt idx="29">
                        <c:v>45621</c:v>
                      </c:pt>
                      <c:pt idx="30">
                        <c:v>45622</c:v>
                      </c:pt>
                      <c:pt idx="31">
                        <c:v>45623</c:v>
                      </c:pt>
                      <c:pt idx="32">
                        <c:v>45625</c:v>
                      </c:pt>
                      <c:pt idx="33">
                        <c:v>45628</c:v>
                      </c:pt>
                      <c:pt idx="34">
                        <c:v>45629</c:v>
                      </c:pt>
                      <c:pt idx="35">
                        <c:v>45630</c:v>
                      </c:pt>
                      <c:pt idx="36">
                        <c:v>45631</c:v>
                      </c:pt>
                      <c:pt idx="37">
                        <c:v>45632</c:v>
                      </c:pt>
                      <c:pt idx="38">
                        <c:v>45635</c:v>
                      </c:pt>
                      <c:pt idx="39">
                        <c:v>45636</c:v>
                      </c:pt>
                      <c:pt idx="40">
                        <c:v>45637</c:v>
                      </c:pt>
                      <c:pt idx="41">
                        <c:v>45638</c:v>
                      </c:pt>
                      <c:pt idx="42">
                        <c:v>45639</c:v>
                      </c:pt>
                      <c:pt idx="43">
                        <c:v>45642</c:v>
                      </c:pt>
                      <c:pt idx="44">
                        <c:v>45643</c:v>
                      </c:pt>
                      <c:pt idx="45">
                        <c:v>45644</c:v>
                      </c:pt>
                      <c:pt idx="46">
                        <c:v>45645</c:v>
                      </c:pt>
                      <c:pt idx="47">
                        <c:v>45646</c:v>
                      </c:pt>
                      <c:pt idx="48">
                        <c:v>45649</c:v>
                      </c:pt>
                      <c:pt idx="49">
                        <c:v>45650</c:v>
                      </c:pt>
                      <c:pt idx="50">
                        <c:v>45652</c:v>
                      </c:pt>
                      <c:pt idx="51">
                        <c:v>45653</c:v>
                      </c:pt>
                      <c:pt idx="52">
                        <c:v>45656</c:v>
                      </c:pt>
                      <c:pt idx="53">
                        <c:v>45657</c:v>
                      </c:pt>
                      <c:pt idx="54">
                        <c:v>45659</c:v>
                      </c:pt>
                      <c:pt idx="55">
                        <c:v>45660</c:v>
                      </c:pt>
                      <c:pt idx="56">
                        <c:v>45663</c:v>
                      </c:pt>
                      <c:pt idx="57">
                        <c:v>45664</c:v>
                      </c:pt>
                      <c:pt idx="58">
                        <c:v>45665</c:v>
                      </c:pt>
                      <c:pt idx="59">
                        <c:v>45667</c:v>
                      </c:pt>
                      <c:pt idx="60">
                        <c:v>45670</c:v>
                      </c:pt>
                      <c:pt idx="61">
                        <c:v>45671</c:v>
                      </c:pt>
                      <c:pt idx="62">
                        <c:v>45672</c:v>
                      </c:pt>
                      <c:pt idx="63">
                        <c:v>45673</c:v>
                      </c:pt>
                      <c:pt idx="64">
                        <c:v>45674</c:v>
                      </c:pt>
                      <c:pt idx="65">
                        <c:v>45678</c:v>
                      </c:pt>
                      <c:pt idx="66">
                        <c:v>45679</c:v>
                      </c:pt>
                      <c:pt idx="67">
                        <c:v>45680</c:v>
                      </c:pt>
                      <c:pt idx="68">
                        <c:v>45681</c:v>
                      </c:pt>
                      <c:pt idx="69">
                        <c:v>45684</c:v>
                      </c:pt>
                      <c:pt idx="70">
                        <c:v>45685</c:v>
                      </c:pt>
                      <c:pt idx="71">
                        <c:v>45686</c:v>
                      </c:pt>
                      <c:pt idx="72">
                        <c:v>45687</c:v>
                      </c:pt>
                      <c:pt idx="73">
                        <c:v>45688</c:v>
                      </c:pt>
                      <c:pt idx="74">
                        <c:v>45691</c:v>
                      </c:pt>
                      <c:pt idx="75">
                        <c:v>45692</c:v>
                      </c:pt>
                      <c:pt idx="76">
                        <c:v>45693</c:v>
                      </c:pt>
                      <c:pt idx="77">
                        <c:v>45694</c:v>
                      </c:pt>
                      <c:pt idx="78">
                        <c:v>45695</c:v>
                      </c:pt>
                      <c:pt idx="79">
                        <c:v>45698</c:v>
                      </c:pt>
                      <c:pt idx="80">
                        <c:v>45699</c:v>
                      </c:pt>
                      <c:pt idx="81">
                        <c:v>45700</c:v>
                      </c:pt>
                      <c:pt idx="82">
                        <c:v>45701</c:v>
                      </c:pt>
                      <c:pt idx="83">
                        <c:v>45702</c:v>
                      </c:pt>
                      <c:pt idx="84">
                        <c:v>45706</c:v>
                      </c:pt>
                      <c:pt idx="85">
                        <c:v>45707</c:v>
                      </c:pt>
                      <c:pt idx="86">
                        <c:v>45708</c:v>
                      </c:pt>
                      <c:pt idx="87">
                        <c:v>45709</c:v>
                      </c:pt>
                      <c:pt idx="88">
                        <c:v>45712</c:v>
                      </c:pt>
                      <c:pt idx="89">
                        <c:v>45713</c:v>
                      </c:pt>
                      <c:pt idx="90">
                        <c:v>45714</c:v>
                      </c:pt>
                      <c:pt idx="91">
                        <c:v>45715</c:v>
                      </c:pt>
                      <c:pt idx="92">
                        <c:v>45716</c:v>
                      </c:pt>
                      <c:pt idx="93">
                        <c:v>45719</c:v>
                      </c:pt>
                      <c:pt idx="94">
                        <c:v>45720</c:v>
                      </c:pt>
                      <c:pt idx="95">
                        <c:v>45721</c:v>
                      </c:pt>
                      <c:pt idx="96">
                        <c:v>45722</c:v>
                      </c:pt>
                      <c:pt idx="97">
                        <c:v>45723</c:v>
                      </c:pt>
                      <c:pt idx="98">
                        <c:v>45726</c:v>
                      </c:pt>
                      <c:pt idx="99">
                        <c:v>45727</c:v>
                      </c:pt>
                      <c:pt idx="100">
                        <c:v>45728</c:v>
                      </c:pt>
                      <c:pt idx="101">
                        <c:v>45729</c:v>
                      </c:pt>
                      <c:pt idx="102">
                        <c:v>45730</c:v>
                      </c:pt>
                      <c:pt idx="103">
                        <c:v>45733</c:v>
                      </c:pt>
                      <c:pt idx="104">
                        <c:v>45734</c:v>
                      </c:pt>
                      <c:pt idx="105">
                        <c:v>45735</c:v>
                      </c:pt>
                      <c:pt idx="106">
                        <c:v>45736</c:v>
                      </c:pt>
                      <c:pt idx="107">
                        <c:v>45737</c:v>
                      </c:pt>
                      <c:pt idx="108">
                        <c:v>45740</c:v>
                      </c:pt>
                      <c:pt idx="109">
                        <c:v>45741</c:v>
                      </c:pt>
                      <c:pt idx="110">
                        <c:v>45742</c:v>
                      </c:pt>
                      <c:pt idx="111">
                        <c:v>45743</c:v>
                      </c:pt>
                      <c:pt idx="112">
                        <c:v>45744</c:v>
                      </c:pt>
                      <c:pt idx="113">
                        <c:v>45747</c:v>
                      </c:pt>
                      <c:pt idx="114">
                        <c:v>45748</c:v>
                      </c:pt>
                      <c:pt idx="115">
                        <c:v>45749</c:v>
                      </c:pt>
                      <c:pt idx="116">
                        <c:v>45750</c:v>
                      </c:pt>
                      <c:pt idx="117">
                        <c:v>45751</c:v>
                      </c:pt>
                      <c:pt idx="118">
                        <c:v>45754</c:v>
                      </c:pt>
                      <c:pt idx="119">
                        <c:v>45755</c:v>
                      </c:pt>
                      <c:pt idx="120">
                        <c:v>45756</c:v>
                      </c:pt>
                      <c:pt idx="121">
                        <c:v>45757</c:v>
                      </c:pt>
                      <c:pt idx="122">
                        <c:v>45758</c:v>
                      </c:pt>
                      <c:pt idx="123">
                        <c:v>45761</c:v>
                      </c:pt>
                    </c:numCache>
                  </c:numRef>
                </c:cat>
                <c:val>
                  <c:numRef>
                    <c:extLst xmlns:c15="http://schemas.microsoft.com/office/drawing/2012/chart">
                      <c:ext xmlns:c15="http://schemas.microsoft.com/office/drawing/2012/chart" uri="{02D57815-91ED-43cb-92C2-25804820EDAC}">
                        <c15:formulaRef>
                          <c15:sqref>Analysis!$E$9:$E$257</c15:sqref>
                        </c15:formulaRef>
                      </c:ext>
                    </c:extLst>
                    <c:numCache>
                      <c:formatCode>m/d/yyyy</c:formatCode>
                      <c:ptCount val="249"/>
                      <c:pt idx="0">
                        <c:v>45580</c:v>
                      </c:pt>
                      <c:pt idx="1">
                        <c:v>45581</c:v>
                      </c:pt>
                      <c:pt idx="2">
                        <c:v>45582</c:v>
                      </c:pt>
                      <c:pt idx="3">
                        <c:v>45583</c:v>
                      </c:pt>
                      <c:pt idx="4">
                        <c:v>45586</c:v>
                      </c:pt>
                      <c:pt idx="5">
                        <c:v>45587</c:v>
                      </c:pt>
                      <c:pt idx="6">
                        <c:v>45588</c:v>
                      </c:pt>
                      <c:pt idx="7">
                        <c:v>45589</c:v>
                      </c:pt>
                      <c:pt idx="8">
                        <c:v>45590</c:v>
                      </c:pt>
                      <c:pt idx="9">
                        <c:v>45593</c:v>
                      </c:pt>
                      <c:pt idx="10">
                        <c:v>45594</c:v>
                      </c:pt>
                      <c:pt idx="11">
                        <c:v>45595</c:v>
                      </c:pt>
                      <c:pt idx="12">
                        <c:v>45596</c:v>
                      </c:pt>
                      <c:pt idx="13">
                        <c:v>45597</c:v>
                      </c:pt>
                      <c:pt idx="14">
                        <c:v>45600</c:v>
                      </c:pt>
                      <c:pt idx="15">
                        <c:v>45601</c:v>
                      </c:pt>
                      <c:pt idx="16">
                        <c:v>45602</c:v>
                      </c:pt>
                      <c:pt idx="17">
                        <c:v>45603</c:v>
                      </c:pt>
                      <c:pt idx="18">
                        <c:v>45604</c:v>
                      </c:pt>
                      <c:pt idx="19">
                        <c:v>45607</c:v>
                      </c:pt>
                      <c:pt idx="20">
                        <c:v>45608</c:v>
                      </c:pt>
                      <c:pt idx="21">
                        <c:v>45609</c:v>
                      </c:pt>
                      <c:pt idx="22">
                        <c:v>45610</c:v>
                      </c:pt>
                      <c:pt idx="23">
                        <c:v>45611</c:v>
                      </c:pt>
                      <c:pt idx="24">
                        <c:v>45614</c:v>
                      </c:pt>
                      <c:pt idx="25">
                        <c:v>45615</c:v>
                      </c:pt>
                      <c:pt idx="26">
                        <c:v>45616</c:v>
                      </c:pt>
                      <c:pt idx="27">
                        <c:v>45617</c:v>
                      </c:pt>
                      <c:pt idx="28">
                        <c:v>45618</c:v>
                      </c:pt>
                      <c:pt idx="29">
                        <c:v>45621</c:v>
                      </c:pt>
                      <c:pt idx="30">
                        <c:v>45622</c:v>
                      </c:pt>
                      <c:pt idx="31">
                        <c:v>45623</c:v>
                      </c:pt>
                      <c:pt idx="32">
                        <c:v>45625</c:v>
                      </c:pt>
                      <c:pt idx="33">
                        <c:v>45628</c:v>
                      </c:pt>
                      <c:pt idx="34">
                        <c:v>45629</c:v>
                      </c:pt>
                      <c:pt idx="35">
                        <c:v>45630</c:v>
                      </c:pt>
                      <c:pt idx="36">
                        <c:v>45631</c:v>
                      </c:pt>
                      <c:pt idx="37">
                        <c:v>45632</c:v>
                      </c:pt>
                      <c:pt idx="38">
                        <c:v>45635</c:v>
                      </c:pt>
                      <c:pt idx="39">
                        <c:v>45636</c:v>
                      </c:pt>
                      <c:pt idx="40">
                        <c:v>45637</c:v>
                      </c:pt>
                      <c:pt idx="41">
                        <c:v>45638</c:v>
                      </c:pt>
                      <c:pt idx="42">
                        <c:v>45639</c:v>
                      </c:pt>
                      <c:pt idx="43">
                        <c:v>45642</c:v>
                      </c:pt>
                      <c:pt idx="44">
                        <c:v>45643</c:v>
                      </c:pt>
                      <c:pt idx="45">
                        <c:v>45644</c:v>
                      </c:pt>
                      <c:pt idx="46">
                        <c:v>45645</c:v>
                      </c:pt>
                      <c:pt idx="47">
                        <c:v>45646</c:v>
                      </c:pt>
                      <c:pt idx="48">
                        <c:v>45649</c:v>
                      </c:pt>
                      <c:pt idx="49">
                        <c:v>45650</c:v>
                      </c:pt>
                      <c:pt idx="50">
                        <c:v>45652</c:v>
                      </c:pt>
                      <c:pt idx="51">
                        <c:v>45653</c:v>
                      </c:pt>
                      <c:pt idx="52">
                        <c:v>45656</c:v>
                      </c:pt>
                      <c:pt idx="53">
                        <c:v>45657</c:v>
                      </c:pt>
                      <c:pt idx="54">
                        <c:v>45659</c:v>
                      </c:pt>
                      <c:pt idx="55">
                        <c:v>45660</c:v>
                      </c:pt>
                      <c:pt idx="56">
                        <c:v>45663</c:v>
                      </c:pt>
                      <c:pt idx="57">
                        <c:v>45664</c:v>
                      </c:pt>
                      <c:pt idx="58">
                        <c:v>45665</c:v>
                      </c:pt>
                      <c:pt idx="59">
                        <c:v>45667</c:v>
                      </c:pt>
                      <c:pt idx="60">
                        <c:v>45670</c:v>
                      </c:pt>
                      <c:pt idx="61">
                        <c:v>45671</c:v>
                      </c:pt>
                      <c:pt idx="62">
                        <c:v>45672</c:v>
                      </c:pt>
                      <c:pt idx="63">
                        <c:v>45673</c:v>
                      </c:pt>
                      <c:pt idx="64">
                        <c:v>45674</c:v>
                      </c:pt>
                      <c:pt idx="65">
                        <c:v>45678</c:v>
                      </c:pt>
                      <c:pt idx="66">
                        <c:v>45679</c:v>
                      </c:pt>
                      <c:pt idx="67">
                        <c:v>45680</c:v>
                      </c:pt>
                      <c:pt idx="68">
                        <c:v>45681</c:v>
                      </c:pt>
                      <c:pt idx="69">
                        <c:v>45684</c:v>
                      </c:pt>
                      <c:pt idx="70">
                        <c:v>45685</c:v>
                      </c:pt>
                      <c:pt idx="71">
                        <c:v>45686</c:v>
                      </c:pt>
                      <c:pt idx="72">
                        <c:v>45687</c:v>
                      </c:pt>
                      <c:pt idx="73">
                        <c:v>45688</c:v>
                      </c:pt>
                      <c:pt idx="74">
                        <c:v>45691</c:v>
                      </c:pt>
                      <c:pt idx="75">
                        <c:v>45692</c:v>
                      </c:pt>
                      <c:pt idx="76">
                        <c:v>45693</c:v>
                      </c:pt>
                      <c:pt idx="77">
                        <c:v>45694</c:v>
                      </c:pt>
                      <c:pt idx="78">
                        <c:v>45695</c:v>
                      </c:pt>
                      <c:pt idx="79">
                        <c:v>45698</c:v>
                      </c:pt>
                      <c:pt idx="80">
                        <c:v>45699</c:v>
                      </c:pt>
                      <c:pt idx="81">
                        <c:v>45700</c:v>
                      </c:pt>
                      <c:pt idx="82">
                        <c:v>45701</c:v>
                      </c:pt>
                      <c:pt idx="83">
                        <c:v>45702</c:v>
                      </c:pt>
                      <c:pt idx="84">
                        <c:v>45706</c:v>
                      </c:pt>
                      <c:pt idx="85">
                        <c:v>45707</c:v>
                      </c:pt>
                      <c:pt idx="86">
                        <c:v>45708</c:v>
                      </c:pt>
                      <c:pt idx="87">
                        <c:v>45709</c:v>
                      </c:pt>
                      <c:pt idx="88">
                        <c:v>45712</c:v>
                      </c:pt>
                      <c:pt idx="89">
                        <c:v>45713</c:v>
                      </c:pt>
                      <c:pt idx="90">
                        <c:v>45714</c:v>
                      </c:pt>
                      <c:pt idx="91">
                        <c:v>45715</c:v>
                      </c:pt>
                      <c:pt idx="92">
                        <c:v>45716</c:v>
                      </c:pt>
                      <c:pt idx="93">
                        <c:v>45719</c:v>
                      </c:pt>
                      <c:pt idx="94">
                        <c:v>45720</c:v>
                      </c:pt>
                      <c:pt idx="95">
                        <c:v>45721</c:v>
                      </c:pt>
                      <c:pt idx="96">
                        <c:v>45722</c:v>
                      </c:pt>
                      <c:pt idx="97">
                        <c:v>45723</c:v>
                      </c:pt>
                      <c:pt idx="98">
                        <c:v>45726</c:v>
                      </c:pt>
                      <c:pt idx="99">
                        <c:v>45727</c:v>
                      </c:pt>
                      <c:pt idx="100">
                        <c:v>45728</c:v>
                      </c:pt>
                      <c:pt idx="101">
                        <c:v>45729</c:v>
                      </c:pt>
                      <c:pt idx="102">
                        <c:v>45730</c:v>
                      </c:pt>
                      <c:pt idx="103">
                        <c:v>45733</c:v>
                      </c:pt>
                      <c:pt idx="104">
                        <c:v>45734</c:v>
                      </c:pt>
                      <c:pt idx="105">
                        <c:v>45735</c:v>
                      </c:pt>
                      <c:pt idx="106">
                        <c:v>45736</c:v>
                      </c:pt>
                      <c:pt idx="107">
                        <c:v>45737</c:v>
                      </c:pt>
                      <c:pt idx="108">
                        <c:v>45740</c:v>
                      </c:pt>
                      <c:pt idx="109">
                        <c:v>45741</c:v>
                      </c:pt>
                      <c:pt idx="110">
                        <c:v>45742</c:v>
                      </c:pt>
                      <c:pt idx="111">
                        <c:v>45743</c:v>
                      </c:pt>
                      <c:pt idx="112">
                        <c:v>45744</c:v>
                      </c:pt>
                      <c:pt idx="113">
                        <c:v>45747</c:v>
                      </c:pt>
                      <c:pt idx="114">
                        <c:v>45748</c:v>
                      </c:pt>
                      <c:pt idx="115">
                        <c:v>45749</c:v>
                      </c:pt>
                      <c:pt idx="116">
                        <c:v>45750</c:v>
                      </c:pt>
                      <c:pt idx="117">
                        <c:v>45751</c:v>
                      </c:pt>
                      <c:pt idx="118">
                        <c:v>45754</c:v>
                      </c:pt>
                      <c:pt idx="119">
                        <c:v>45755</c:v>
                      </c:pt>
                      <c:pt idx="120">
                        <c:v>45756</c:v>
                      </c:pt>
                      <c:pt idx="121">
                        <c:v>45757</c:v>
                      </c:pt>
                      <c:pt idx="122">
                        <c:v>45758</c:v>
                      </c:pt>
                      <c:pt idx="123">
                        <c:v>45761</c:v>
                      </c:pt>
                    </c:numCache>
                  </c:numRef>
                </c:val>
                <c:smooth val="0"/>
                <c:extLst xmlns:c15="http://schemas.microsoft.com/office/drawing/2012/chart">
                  <c:ext xmlns:c16="http://schemas.microsoft.com/office/drawing/2014/chart" uri="{C3380CC4-5D6E-409C-BE32-E72D297353CC}">
                    <c16:uniqueId val="{00000001-671D-4343-AD8F-DA3C160B90C3}"/>
                  </c:ext>
                </c:extLst>
              </c15:ser>
            </c15:filteredLineSeries>
          </c:ext>
        </c:extLst>
      </c:lineChart>
      <c:lineChart>
        <c:grouping val="standard"/>
        <c:varyColors val="0"/>
        <c:ser>
          <c:idx val="3"/>
          <c:order val="3"/>
          <c:tx>
            <c:strRef>
              <c:f>Analysis!$C$4</c:f>
              <c:strCache>
                <c:ptCount val="1"/>
                <c:pt idx="0">
                  <c:v>WALMART INC. (XNYS:WMT)</c:v>
                </c:pt>
              </c:strCache>
            </c:strRef>
          </c:tx>
          <c:spPr>
            <a:ln w="28575" cap="rnd">
              <a:solidFill>
                <a:schemeClr val="accent4"/>
              </a:solidFill>
              <a:round/>
            </a:ln>
            <a:effectLst/>
          </c:spPr>
          <c:marker>
            <c:symbol val="none"/>
          </c:marker>
          <c:cat>
            <c:numRef>
              <c:f>Analysis!$E$9:$E$257</c:f>
              <c:numCache>
                <c:formatCode>m/d/yyyy</c:formatCode>
                <c:ptCount val="249"/>
                <c:pt idx="0">
                  <c:v>45580</c:v>
                </c:pt>
                <c:pt idx="1">
                  <c:v>45581</c:v>
                </c:pt>
                <c:pt idx="2">
                  <c:v>45582</c:v>
                </c:pt>
                <c:pt idx="3">
                  <c:v>45583</c:v>
                </c:pt>
                <c:pt idx="4">
                  <c:v>45586</c:v>
                </c:pt>
                <c:pt idx="5">
                  <c:v>45587</c:v>
                </c:pt>
                <c:pt idx="6">
                  <c:v>45588</c:v>
                </c:pt>
                <c:pt idx="7">
                  <c:v>45589</c:v>
                </c:pt>
                <c:pt idx="8">
                  <c:v>45590</c:v>
                </c:pt>
                <c:pt idx="9">
                  <c:v>45593</c:v>
                </c:pt>
                <c:pt idx="10">
                  <c:v>45594</c:v>
                </c:pt>
                <c:pt idx="11">
                  <c:v>45595</c:v>
                </c:pt>
                <c:pt idx="12">
                  <c:v>45596</c:v>
                </c:pt>
                <c:pt idx="13">
                  <c:v>45597</c:v>
                </c:pt>
                <c:pt idx="14">
                  <c:v>45600</c:v>
                </c:pt>
                <c:pt idx="15">
                  <c:v>45601</c:v>
                </c:pt>
                <c:pt idx="16">
                  <c:v>45602</c:v>
                </c:pt>
                <c:pt idx="17">
                  <c:v>45603</c:v>
                </c:pt>
                <c:pt idx="18">
                  <c:v>45604</c:v>
                </c:pt>
                <c:pt idx="19">
                  <c:v>45607</c:v>
                </c:pt>
                <c:pt idx="20">
                  <c:v>45608</c:v>
                </c:pt>
                <c:pt idx="21">
                  <c:v>45609</c:v>
                </c:pt>
                <c:pt idx="22">
                  <c:v>45610</c:v>
                </c:pt>
                <c:pt idx="23">
                  <c:v>45611</c:v>
                </c:pt>
                <c:pt idx="24">
                  <c:v>45614</c:v>
                </c:pt>
                <c:pt idx="25">
                  <c:v>45615</c:v>
                </c:pt>
                <c:pt idx="26">
                  <c:v>45616</c:v>
                </c:pt>
                <c:pt idx="27">
                  <c:v>45617</c:v>
                </c:pt>
                <c:pt idx="28">
                  <c:v>45618</c:v>
                </c:pt>
                <c:pt idx="29">
                  <c:v>45621</c:v>
                </c:pt>
                <c:pt idx="30">
                  <c:v>45622</c:v>
                </c:pt>
                <c:pt idx="31">
                  <c:v>45623</c:v>
                </c:pt>
                <c:pt idx="32">
                  <c:v>45625</c:v>
                </c:pt>
                <c:pt idx="33">
                  <c:v>45628</c:v>
                </c:pt>
                <c:pt idx="34">
                  <c:v>45629</c:v>
                </c:pt>
                <c:pt idx="35">
                  <c:v>45630</c:v>
                </c:pt>
                <c:pt idx="36">
                  <c:v>45631</c:v>
                </c:pt>
                <c:pt idx="37">
                  <c:v>45632</c:v>
                </c:pt>
                <c:pt idx="38">
                  <c:v>45635</c:v>
                </c:pt>
                <c:pt idx="39">
                  <c:v>45636</c:v>
                </c:pt>
                <c:pt idx="40">
                  <c:v>45637</c:v>
                </c:pt>
                <c:pt idx="41">
                  <c:v>45638</c:v>
                </c:pt>
                <c:pt idx="42">
                  <c:v>45639</c:v>
                </c:pt>
                <c:pt idx="43">
                  <c:v>45642</c:v>
                </c:pt>
                <c:pt idx="44">
                  <c:v>45643</c:v>
                </c:pt>
                <c:pt idx="45">
                  <c:v>45644</c:v>
                </c:pt>
                <c:pt idx="46">
                  <c:v>45645</c:v>
                </c:pt>
                <c:pt idx="47">
                  <c:v>45646</c:v>
                </c:pt>
                <c:pt idx="48">
                  <c:v>45649</c:v>
                </c:pt>
                <c:pt idx="49">
                  <c:v>45650</c:v>
                </c:pt>
                <c:pt idx="50">
                  <c:v>45652</c:v>
                </c:pt>
                <c:pt idx="51">
                  <c:v>45653</c:v>
                </c:pt>
                <c:pt idx="52">
                  <c:v>45656</c:v>
                </c:pt>
                <c:pt idx="53">
                  <c:v>45657</c:v>
                </c:pt>
                <c:pt idx="54">
                  <c:v>45659</c:v>
                </c:pt>
                <c:pt idx="55">
                  <c:v>45660</c:v>
                </c:pt>
                <c:pt idx="56">
                  <c:v>45663</c:v>
                </c:pt>
                <c:pt idx="57">
                  <c:v>45664</c:v>
                </c:pt>
                <c:pt idx="58">
                  <c:v>45665</c:v>
                </c:pt>
                <c:pt idx="59">
                  <c:v>45667</c:v>
                </c:pt>
                <c:pt idx="60">
                  <c:v>45670</c:v>
                </c:pt>
                <c:pt idx="61">
                  <c:v>45671</c:v>
                </c:pt>
                <c:pt idx="62">
                  <c:v>45672</c:v>
                </c:pt>
                <c:pt idx="63">
                  <c:v>45673</c:v>
                </c:pt>
                <c:pt idx="64">
                  <c:v>45674</c:v>
                </c:pt>
                <c:pt idx="65">
                  <c:v>45678</c:v>
                </c:pt>
                <c:pt idx="66">
                  <c:v>45679</c:v>
                </c:pt>
                <c:pt idx="67">
                  <c:v>45680</c:v>
                </c:pt>
                <c:pt idx="68">
                  <c:v>45681</c:v>
                </c:pt>
                <c:pt idx="69">
                  <c:v>45684</c:v>
                </c:pt>
                <c:pt idx="70">
                  <c:v>45685</c:v>
                </c:pt>
                <c:pt idx="71">
                  <c:v>45686</c:v>
                </c:pt>
                <c:pt idx="72">
                  <c:v>45687</c:v>
                </c:pt>
                <c:pt idx="73">
                  <c:v>45688</c:v>
                </c:pt>
                <c:pt idx="74">
                  <c:v>45691</c:v>
                </c:pt>
                <c:pt idx="75">
                  <c:v>45692</c:v>
                </c:pt>
                <c:pt idx="76">
                  <c:v>45693</c:v>
                </c:pt>
                <c:pt idx="77">
                  <c:v>45694</c:v>
                </c:pt>
                <c:pt idx="78">
                  <c:v>45695</c:v>
                </c:pt>
                <c:pt idx="79">
                  <c:v>45698</c:v>
                </c:pt>
                <c:pt idx="80">
                  <c:v>45699</c:v>
                </c:pt>
                <c:pt idx="81">
                  <c:v>45700</c:v>
                </c:pt>
                <c:pt idx="82">
                  <c:v>45701</c:v>
                </c:pt>
                <c:pt idx="83">
                  <c:v>45702</c:v>
                </c:pt>
                <c:pt idx="84">
                  <c:v>45706</c:v>
                </c:pt>
                <c:pt idx="85">
                  <c:v>45707</c:v>
                </c:pt>
                <c:pt idx="86">
                  <c:v>45708</c:v>
                </c:pt>
                <c:pt idx="87">
                  <c:v>45709</c:v>
                </c:pt>
                <c:pt idx="88">
                  <c:v>45712</c:v>
                </c:pt>
                <c:pt idx="89">
                  <c:v>45713</c:v>
                </c:pt>
                <c:pt idx="90">
                  <c:v>45714</c:v>
                </c:pt>
                <c:pt idx="91">
                  <c:v>45715</c:v>
                </c:pt>
                <c:pt idx="92">
                  <c:v>45716</c:v>
                </c:pt>
                <c:pt idx="93">
                  <c:v>45719</c:v>
                </c:pt>
                <c:pt idx="94">
                  <c:v>45720</c:v>
                </c:pt>
                <c:pt idx="95">
                  <c:v>45721</c:v>
                </c:pt>
                <c:pt idx="96">
                  <c:v>45722</c:v>
                </c:pt>
                <c:pt idx="97">
                  <c:v>45723</c:v>
                </c:pt>
                <c:pt idx="98">
                  <c:v>45726</c:v>
                </c:pt>
                <c:pt idx="99">
                  <c:v>45727</c:v>
                </c:pt>
                <c:pt idx="100">
                  <c:v>45728</c:v>
                </c:pt>
                <c:pt idx="101">
                  <c:v>45729</c:v>
                </c:pt>
                <c:pt idx="102">
                  <c:v>45730</c:v>
                </c:pt>
                <c:pt idx="103">
                  <c:v>45733</c:v>
                </c:pt>
                <c:pt idx="104">
                  <c:v>45734</c:v>
                </c:pt>
                <c:pt idx="105">
                  <c:v>45735</c:v>
                </c:pt>
                <c:pt idx="106">
                  <c:v>45736</c:v>
                </c:pt>
                <c:pt idx="107">
                  <c:v>45737</c:v>
                </c:pt>
                <c:pt idx="108">
                  <c:v>45740</c:v>
                </c:pt>
                <c:pt idx="109">
                  <c:v>45741</c:v>
                </c:pt>
                <c:pt idx="110">
                  <c:v>45742</c:v>
                </c:pt>
                <c:pt idx="111">
                  <c:v>45743</c:v>
                </c:pt>
                <c:pt idx="112">
                  <c:v>45744</c:v>
                </c:pt>
                <c:pt idx="113">
                  <c:v>45747</c:v>
                </c:pt>
                <c:pt idx="114">
                  <c:v>45748</c:v>
                </c:pt>
                <c:pt idx="115">
                  <c:v>45749</c:v>
                </c:pt>
                <c:pt idx="116">
                  <c:v>45750</c:v>
                </c:pt>
                <c:pt idx="117">
                  <c:v>45751</c:v>
                </c:pt>
                <c:pt idx="118">
                  <c:v>45754</c:v>
                </c:pt>
                <c:pt idx="119">
                  <c:v>45755</c:v>
                </c:pt>
                <c:pt idx="120">
                  <c:v>45756</c:v>
                </c:pt>
                <c:pt idx="121">
                  <c:v>45757</c:v>
                </c:pt>
                <c:pt idx="122">
                  <c:v>45758</c:v>
                </c:pt>
                <c:pt idx="123">
                  <c:v>45761</c:v>
                </c:pt>
              </c:numCache>
            </c:numRef>
          </c:cat>
          <c:val>
            <c:numRef>
              <c:f>Analysis!$C$9:$C$258</c:f>
              <c:numCache>
                <c:formatCode>_([$$-409]* #,##0.00_);_([$$-409]* \(#,##0.00\);_([$$-409]* "-"??_);_(@_)</c:formatCode>
                <c:ptCount val="250"/>
                <c:pt idx="0">
                  <c:v>81.650000000000006</c:v>
                </c:pt>
                <c:pt idx="1">
                  <c:v>81.22</c:v>
                </c:pt>
                <c:pt idx="2">
                  <c:v>80.89</c:v>
                </c:pt>
                <c:pt idx="3">
                  <c:v>81.31</c:v>
                </c:pt>
                <c:pt idx="4">
                  <c:v>80.81</c:v>
                </c:pt>
                <c:pt idx="5">
                  <c:v>82.02</c:v>
                </c:pt>
                <c:pt idx="6">
                  <c:v>83.27</c:v>
                </c:pt>
                <c:pt idx="7">
                  <c:v>83.04</c:v>
                </c:pt>
                <c:pt idx="8">
                  <c:v>82.51</c:v>
                </c:pt>
                <c:pt idx="9">
                  <c:v>82.75</c:v>
                </c:pt>
                <c:pt idx="10">
                  <c:v>81.7</c:v>
                </c:pt>
                <c:pt idx="11">
                  <c:v>81.39</c:v>
                </c:pt>
                <c:pt idx="12">
                  <c:v>81.95</c:v>
                </c:pt>
                <c:pt idx="13">
                  <c:v>82.19</c:v>
                </c:pt>
                <c:pt idx="14">
                  <c:v>82.45</c:v>
                </c:pt>
                <c:pt idx="15">
                  <c:v>83.68</c:v>
                </c:pt>
                <c:pt idx="16">
                  <c:v>83.44</c:v>
                </c:pt>
                <c:pt idx="17">
                  <c:v>83.85</c:v>
                </c:pt>
                <c:pt idx="18">
                  <c:v>84.83</c:v>
                </c:pt>
                <c:pt idx="19">
                  <c:v>84.21</c:v>
                </c:pt>
                <c:pt idx="20">
                  <c:v>84.99</c:v>
                </c:pt>
                <c:pt idx="21">
                  <c:v>85.5</c:v>
                </c:pt>
                <c:pt idx="22">
                  <c:v>84.47</c:v>
                </c:pt>
                <c:pt idx="23">
                  <c:v>84.25</c:v>
                </c:pt>
                <c:pt idx="24">
                  <c:v>84.08</c:v>
                </c:pt>
                <c:pt idx="25">
                  <c:v>86.6</c:v>
                </c:pt>
                <c:pt idx="26">
                  <c:v>87.18</c:v>
                </c:pt>
                <c:pt idx="27">
                  <c:v>88.39</c:v>
                </c:pt>
                <c:pt idx="28">
                  <c:v>90.44</c:v>
                </c:pt>
                <c:pt idx="29">
                  <c:v>89.5</c:v>
                </c:pt>
                <c:pt idx="30">
                  <c:v>91.31</c:v>
                </c:pt>
                <c:pt idx="31">
                  <c:v>91.88</c:v>
                </c:pt>
                <c:pt idx="32">
                  <c:v>92.5</c:v>
                </c:pt>
                <c:pt idx="33">
                  <c:v>92.64</c:v>
                </c:pt>
                <c:pt idx="34">
                  <c:v>93.51</c:v>
                </c:pt>
                <c:pt idx="35">
                  <c:v>94.45</c:v>
                </c:pt>
                <c:pt idx="36">
                  <c:v>95.3</c:v>
                </c:pt>
                <c:pt idx="37">
                  <c:v>95.7</c:v>
                </c:pt>
                <c:pt idx="38">
                  <c:v>93.83</c:v>
                </c:pt>
                <c:pt idx="39">
                  <c:v>94.55</c:v>
                </c:pt>
                <c:pt idx="40">
                  <c:v>94.96</c:v>
                </c:pt>
                <c:pt idx="41">
                  <c:v>94.09</c:v>
                </c:pt>
                <c:pt idx="42">
                  <c:v>94.25</c:v>
                </c:pt>
                <c:pt idx="43">
                  <c:v>94.87</c:v>
                </c:pt>
                <c:pt idx="44">
                  <c:v>95.42</c:v>
                </c:pt>
                <c:pt idx="45">
                  <c:v>93.55</c:v>
                </c:pt>
                <c:pt idx="46">
                  <c:v>93.4</c:v>
                </c:pt>
                <c:pt idx="47">
                  <c:v>92.24</c:v>
                </c:pt>
                <c:pt idx="48">
                  <c:v>90.35</c:v>
                </c:pt>
                <c:pt idx="49">
                  <c:v>92.68</c:v>
                </c:pt>
                <c:pt idx="50">
                  <c:v>92.79</c:v>
                </c:pt>
                <c:pt idx="51">
                  <c:v>91.66</c:v>
                </c:pt>
                <c:pt idx="52">
                  <c:v>90.57</c:v>
                </c:pt>
                <c:pt idx="53">
                  <c:v>90.35</c:v>
                </c:pt>
                <c:pt idx="54">
                  <c:v>90</c:v>
                </c:pt>
                <c:pt idx="55">
                  <c:v>90.78</c:v>
                </c:pt>
                <c:pt idx="56">
                  <c:v>91.43</c:v>
                </c:pt>
                <c:pt idx="57">
                  <c:v>90.81</c:v>
                </c:pt>
                <c:pt idx="58">
                  <c:v>91.8</c:v>
                </c:pt>
                <c:pt idx="59">
                  <c:v>93</c:v>
                </c:pt>
                <c:pt idx="60">
                  <c:v>91.53</c:v>
                </c:pt>
                <c:pt idx="61">
                  <c:v>90.79</c:v>
                </c:pt>
                <c:pt idx="62">
                  <c:v>91.34</c:v>
                </c:pt>
                <c:pt idx="63">
                  <c:v>91.3</c:v>
                </c:pt>
                <c:pt idx="64">
                  <c:v>91.94</c:v>
                </c:pt>
                <c:pt idx="65">
                  <c:v>93.08</c:v>
                </c:pt>
                <c:pt idx="66">
                  <c:v>93.23</c:v>
                </c:pt>
                <c:pt idx="67">
                  <c:v>93.81</c:v>
                </c:pt>
                <c:pt idx="68">
                  <c:v>94.76</c:v>
                </c:pt>
                <c:pt idx="69">
                  <c:v>97.4</c:v>
                </c:pt>
                <c:pt idx="70">
                  <c:v>97.29</c:v>
                </c:pt>
                <c:pt idx="71">
                  <c:v>97.5</c:v>
                </c:pt>
                <c:pt idx="72">
                  <c:v>98.65</c:v>
                </c:pt>
                <c:pt idx="73">
                  <c:v>98.16</c:v>
                </c:pt>
                <c:pt idx="74">
                  <c:v>99.54</c:v>
                </c:pt>
                <c:pt idx="75">
                  <c:v>100.77</c:v>
                </c:pt>
                <c:pt idx="76">
                  <c:v>102.46</c:v>
                </c:pt>
                <c:pt idx="77">
                  <c:v>102.85</c:v>
                </c:pt>
                <c:pt idx="78">
                  <c:v>101.15</c:v>
                </c:pt>
                <c:pt idx="79">
                  <c:v>102.92</c:v>
                </c:pt>
                <c:pt idx="80">
                  <c:v>102.47</c:v>
                </c:pt>
                <c:pt idx="81">
                  <c:v>103.61</c:v>
                </c:pt>
                <c:pt idx="82">
                  <c:v>105.05</c:v>
                </c:pt>
                <c:pt idx="83">
                  <c:v>104.04</c:v>
                </c:pt>
                <c:pt idx="84">
                  <c:v>103.78</c:v>
                </c:pt>
                <c:pt idx="85">
                  <c:v>104</c:v>
                </c:pt>
                <c:pt idx="86">
                  <c:v>97.21</c:v>
                </c:pt>
                <c:pt idx="87">
                  <c:v>94.78</c:v>
                </c:pt>
                <c:pt idx="88">
                  <c:v>93.67</c:v>
                </c:pt>
                <c:pt idx="89">
                  <c:v>97.69</c:v>
                </c:pt>
                <c:pt idx="90">
                  <c:v>96.2</c:v>
                </c:pt>
                <c:pt idx="91">
                  <c:v>96.79</c:v>
                </c:pt>
                <c:pt idx="92">
                  <c:v>98.61</c:v>
                </c:pt>
                <c:pt idx="93">
                  <c:v>97.59</c:v>
                </c:pt>
                <c:pt idx="94">
                  <c:v>94.97</c:v>
                </c:pt>
                <c:pt idx="95">
                  <c:v>95.98</c:v>
                </c:pt>
                <c:pt idx="96">
                  <c:v>94.64</c:v>
                </c:pt>
                <c:pt idx="97">
                  <c:v>91.72</c:v>
                </c:pt>
                <c:pt idx="98">
                  <c:v>87.82</c:v>
                </c:pt>
                <c:pt idx="99">
                  <c:v>87.44</c:v>
                </c:pt>
                <c:pt idx="100">
                  <c:v>85.2</c:v>
                </c:pt>
                <c:pt idx="101">
                  <c:v>84.5</c:v>
                </c:pt>
                <c:pt idx="102">
                  <c:v>85.35</c:v>
                </c:pt>
                <c:pt idx="103">
                  <c:v>87.46</c:v>
                </c:pt>
                <c:pt idx="104">
                  <c:v>85.59</c:v>
                </c:pt>
                <c:pt idx="105">
                  <c:v>86.33</c:v>
                </c:pt>
                <c:pt idx="106">
                  <c:v>85.81</c:v>
                </c:pt>
                <c:pt idx="107">
                  <c:v>85.98</c:v>
                </c:pt>
                <c:pt idx="108">
                  <c:v>87.49</c:v>
                </c:pt>
                <c:pt idx="109">
                  <c:v>84.76</c:v>
                </c:pt>
                <c:pt idx="110">
                  <c:v>85.21</c:v>
                </c:pt>
                <c:pt idx="111">
                  <c:v>85.63</c:v>
                </c:pt>
                <c:pt idx="112">
                  <c:v>85.15</c:v>
                </c:pt>
                <c:pt idx="113">
                  <c:v>87.79</c:v>
                </c:pt>
                <c:pt idx="114">
                  <c:v>88.83</c:v>
                </c:pt>
                <c:pt idx="115">
                  <c:v>89.76</c:v>
                </c:pt>
                <c:pt idx="116">
                  <c:v>87.26</c:v>
                </c:pt>
                <c:pt idx="117">
                  <c:v>83.19</c:v>
                </c:pt>
                <c:pt idx="118">
                  <c:v>83.83</c:v>
                </c:pt>
                <c:pt idx="119">
                  <c:v>81.790000000000006</c:v>
                </c:pt>
                <c:pt idx="120">
                  <c:v>89.6</c:v>
                </c:pt>
                <c:pt idx="121">
                  <c:v>90.61</c:v>
                </c:pt>
                <c:pt idx="122">
                  <c:v>92.8</c:v>
                </c:pt>
                <c:pt idx="123">
                  <c:v>94.73</c:v>
                </c:pt>
              </c:numCache>
            </c:numRef>
          </c:val>
          <c:smooth val="0"/>
          <c:extLst>
            <c:ext xmlns:c16="http://schemas.microsoft.com/office/drawing/2014/chart" uri="{C3380CC4-5D6E-409C-BE32-E72D297353CC}">
              <c16:uniqueId val="{00000002-671D-4343-AD8F-DA3C160B90C3}"/>
            </c:ext>
          </c:extLst>
        </c:ser>
        <c:dLbls>
          <c:showLegendKey val="0"/>
          <c:showVal val="0"/>
          <c:showCatName val="0"/>
          <c:showSerName val="0"/>
          <c:showPercent val="0"/>
          <c:showBubbleSize val="0"/>
        </c:dLbls>
        <c:marker val="1"/>
        <c:smooth val="0"/>
        <c:axId val="297972991"/>
        <c:axId val="297971071"/>
      </c:lineChart>
      <c:dateAx>
        <c:axId val="29795379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954271"/>
        <c:crosses val="autoZero"/>
        <c:auto val="1"/>
        <c:lblOffset val="100"/>
        <c:baseTimeUnit val="days"/>
      </c:dateAx>
      <c:valAx>
        <c:axId val="29795427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953791"/>
        <c:crosses val="autoZero"/>
        <c:crossBetween val="between"/>
      </c:valAx>
      <c:valAx>
        <c:axId val="297971071"/>
        <c:scaling>
          <c:orientation val="minMax"/>
        </c:scaling>
        <c:delete val="0"/>
        <c:axPos val="r"/>
        <c:numFmt formatCode="_(&quot;$&quot;* #,##0.00_);_(&quot;$&quot;* \(#,##0.00\);_(&quot;$&quot;* &quot;-&quot;??_);_(@_)"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972991"/>
        <c:crosses val="max"/>
        <c:crossBetween val="between"/>
      </c:valAx>
      <c:dateAx>
        <c:axId val="297972991"/>
        <c:scaling>
          <c:orientation val="minMax"/>
        </c:scaling>
        <c:delete val="1"/>
        <c:axPos val="b"/>
        <c:numFmt formatCode="m/d/yyyy" sourceLinked="1"/>
        <c:majorTickMark val="out"/>
        <c:minorTickMark val="none"/>
        <c:tickLblPos val="nextTo"/>
        <c:crossAx val="297971071"/>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80BA36B2-7D8D-4C39-A5CB-12A3B5729505}" formatIdx="0">
          <cx:dataLabels>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3.svg"/><Relationship Id="rId1" Type="http://schemas.openxmlformats.org/officeDocument/2006/relationships/image" Target="../media/image2.png"/><Relationship Id="rId5" Type="http://schemas.microsoft.com/office/2014/relationships/chartEx" Target="../charts/chartEx1.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72614</xdr:rowOff>
    </xdr:from>
    <xdr:to>
      <xdr:col>1</xdr:col>
      <xdr:colOff>367938</xdr:colOff>
      <xdr:row>3</xdr:row>
      <xdr:rowOff>190180</xdr:rowOff>
    </xdr:to>
    <xdr:pic>
      <xdr:nvPicPr>
        <xdr:cNvPr id="3" name="Graphic 2" descr="Exponential Graph with solid fill">
          <a:extLst>
            <a:ext uri="{FF2B5EF4-FFF2-40B4-BE49-F238E27FC236}">
              <a16:creationId xmlns:a16="http://schemas.microsoft.com/office/drawing/2014/main" id="{8D03D4F0-4A57-C73F-694E-BFC2858AF26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0" y="72614"/>
          <a:ext cx="852032" cy="834742"/>
        </a:xfrm>
        <a:prstGeom prst="rect">
          <a:avLst/>
        </a:prstGeom>
      </xdr:spPr>
    </xdr:pic>
    <xdr:clientData/>
  </xdr:twoCellAnchor>
  <xdr:twoCellAnchor>
    <xdr:from>
      <xdr:col>1</xdr:col>
      <xdr:colOff>0</xdr:colOff>
      <xdr:row>17</xdr:row>
      <xdr:rowOff>0</xdr:rowOff>
    </xdr:from>
    <xdr:to>
      <xdr:col>4</xdr:col>
      <xdr:colOff>7620</xdr:colOff>
      <xdr:row>35</xdr:row>
      <xdr:rowOff>0</xdr:rowOff>
    </xdr:to>
    <xdr:graphicFrame macro="">
      <xdr:nvGraphicFramePr>
        <xdr:cNvPr id="7" name="Chart 6">
          <a:extLst>
            <a:ext uri="{FF2B5EF4-FFF2-40B4-BE49-F238E27FC236}">
              <a16:creationId xmlns:a16="http://schemas.microsoft.com/office/drawing/2014/main" id="{DC9A6477-96B5-900B-1E3F-C1FD5D9A5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17</xdr:row>
      <xdr:rowOff>9527</xdr:rowOff>
    </xdr:from>
    <xdr:to>
      <xdr:col>9</xdr:col>
      <xdr:colOff>0</xdr:colOff>
      <xdr:row>35</xdr:row>
      <xdr:rowOff>0</xdr:rowOff>
    </xdr:to>
    <xdr:graphicFrame macro="">
      <xdr:nvGraphicFramePr>
        <xdr:cNvPr id="2" name="Chart 1">
          <a:extLst>
            <a:ext uri="{FF2B5EF4-FFF2-40B4-BE49-F238E27FC236}">
              <a16:creationId xmlns:a16="http://schemas.microsoft.com/office/drawing/2014/main" id="{CA99E427-6E51-57CD-9E73-A28C3EF7DA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0</xdr:colOff>
      <xdr:row>17</xdr:row>
      <xdr:rowOff>0</xdr:rowOff>
    </xdr:from>
    <xdr:to>
      <xdr:col>15</xdr:col>
      <xdr:colOff>0</xdr:colOff>
      <xdr:row>34</xdr:row>
      <xdr:rowOff>162709</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99347889-FC93-55CB-954A-DD4B31702E4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437620" y="3284220"/>
              <a:ext cx="5440680" cy="314212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672351</xdr:colOff>
      <xdr:row>6</xdr:row>
      <xdr:rowOff>0</xdr:rowOff>
    </xdr:from>
    <xdr:to>
      <xdr:col>23</xdr:col>
      <xdr:colOff>-1</xdr:colOff>
      <xdr:row>24</xdr:row>
      <xdr:rowOff>0</xdr:rowOff>
    </xdr:to>
    <xdr:graphicFrame macro="">
      <xdr:nvGraphicFramePr>
        <xdr:cNvPr id="2" name="Chart 1">
          <a:extLst>
            <a:ext uri="{FF2B5EF4-FFF2-40B4-BE49-F238E27FC236}">
              <a16:creationId xmlns:a16="http://schemas.microsoft.com/office/drawing/2014/main" id="{8F8AE18C-2F41-6F69-CB9D-65439088A7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30</xdr:row>
      <xdr:rowOff>171673</xdr:rowOff>
    </xdr:from>
    <xdr:to>
      <xdr:col>22</xdr:col>
      <xdr:colOff>672352</xdr:colOff>
      <xdr:row>51</xdr:row>
      <xdr:rowOff>0</xdr:rowOff>
    </xdr:to>
    <xdr:graphicFrame macro="">
      <xdr:nvGraphicFramePr>
        <xdr:cNvPr id="4" name="Chart 3">
          <a:extLst>
            <a:ext uri="{FF2B5EF4-FFF2-40B4-BE49-F238E27FC236}">
              <a16:creationId xmlns:a16="http://schemas.microsoft.com/office/drawing/2014/main" id="{C11E2137-1C11-4B0F-877D-7E31545D8F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3">
  <a r="1" c="124">
    <v t="i">0</v>
    <v t="i">1</v>
    <v t="i">2</v>
    <v t="i">3</v>
    <v t="i">6</v>
    <v t="i">7</v>
    <v t="i">8</v>
    <v t="i">9</v>
    <v t="i">10</v>
    <v t="i">13</v>
    <v t="i">14</v>
    <v t="i">15</v>
    <v t="i">16</v>
    <v t="i">17</v>
    <v t="i">20</v>
    <v t="i">21</v>
    <v t="i">22</v>
    <v t="i">23</v>
    <v t="i">24</v>
    <v t="i">27</v>
    <v t="i">28</v>
    <v t="i">29</v>
    <v t="i">30</v>
    <v t="i">31</v>
    <v t="i">34</v>
    <v t="i">35</v>
    <v t="i">36</v>
    <v t="i">37</v>
    <v t="i">38</v>
    <v t="i">41</v>
    <v t="i">42</v>
    <v t="i">43</v>
    <v t="i">45</v>
    <v t="i">48</v>
    <v t="i">49</v>
    <v t="i">50</v>
    <v t="i">51</v>
    <v t="i">52</v>
    <v t="i">55</v>
    <v t="i">56</v>
    <v t="i">57</v>
    <v t="i">58</v>
    <v t="i">59</v>
    <v t="i">62</v>
    <v t="i">63</v>
    <v t="i">64</v>
    <v t="i">65</v>
    <v t="i">66</v>
    <v t="i">69</v>
    <v t="i">70</v>
    <v t="i">72</v>
    <v t="i">73</v>
    <v t="i">76</v>
    <v t="i">77</v>
    <v t="i">79</v>
    <v t="i">80</v>
    <v t="i">83</v>
    <v t="i">84</v>
    <v t="i">85</v>
    <v t="i">87</v>
    <v t="i">90</v>
    <v t="i">91</v>
    <v t="i">92</v>
    <v t="i">93</v>
    <v t="i">94</v>
    <v t="i">98</v>
    <v t="i">99</v>
    <v t="i">100</v>
    <v t="i">101</v>
    <v t="i">104</v>
    <v t="i">105</v>
    <v t="i">106</v>
    <v t="i">107</v>
    <v t="i">108</v>
    <v t="i">111</v>
    <v t="i">112</v>
    <v t="i">113</v>
    <v t="i">114</v>
    <v t="i">115</v>
    <v t="i">118</v>
    <v t="i">119</v>
    <v t="i">120</v>
    <v t="i">121</v>
    <v t="i">122</v>
    <v t="i">126</v>
    <v t="i">127</v>
    <v t="i">128</v>
    <v t="i">129</v>
    <v t="i">132</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a>
  <a r="1" c="124">
    <v>10.42</v>
    <v>11.07</v>
    <v>10.66</v>
    <v>10.79</v>
    <v>10.45</v>
    <v>9.73</v>
    <v>9.35</v>
    <v>9.34</v>
    <v>9.26</v>
    <v>9.44</v>
    <v>9.35</v>
    <v>9.24</v>
    <v>9.4600000000000009</v>
    <v>9.4600000000000009</v>
    <v>9.33</v>
    <v>9.6199999999999992</v>
    <v>9.23</v>
    <v>9.27</v>
    <v>9.07</v>
    <v>9.39</v>
    <v>9.01</v>
    <v>9.0299999999999994</v>
    <v>8.81</v>
    <v>8.48</v>
    <v>8.66</v>
    <v>8.2899999999999991</v>
    <v>8.24</v>
    <v>8.3000000000000007</v>
    <v>8.66</v>
    <v>9.06</v>
    <v>8.73</v>
    <v>9.06</v>
    <v>9.02</v>
    <v>8.98</v>
    <v>8.9499999999999993</v>
    <v>8.74</v>
    <v>8.4700000000000006</v>
    <v>8.56</v>
    <v>8.85</v>
    <v>10.42</v>
    <v>9.84</v>
    <v>9.73</v>
    <v>10.39</v>
    <v>10.18</v>
    <v>9.9700000000000006</v>
    <v>9.6999999999999993</v>
    <v>9.35</v>
    <v>9.5500000000000007</v>
    <v>9.3000000000000007</v>
    <v>9.19</v>
    <v>9.68</v>
    <v>9.6199999999999992</v>
    <v>9.26</v>
    <v>9.33</v>
    <v>9.19</v>
    <v>9.5</v>
    <v>9.4700000000000006</v>
    <v>9.67</v>
    <v>9.2200000000000006</v>
    <v>11.76</v>
    <v>11.9</v>
    <v>12.24</v>
    <v>12.53</v>
    <v>12.93</v>
    <v>12.52</v>
    <v>11.37</v>
    <v>11.62</v>
    <v>11.74</v>
    <v>11.87</v>
    <v>11.34</v>
    <v>10.89</v>
    <v>11.25</v>
    <v>11.46</v>
    <v>10.28</v>
    <v>9.76</v>
    <v>9.89</v>
    <v>10.119999999999999</v>
    <v>10.050000000000001</v>
    <v>10.119999999999999</v>
    <v>9.9700000000000006</v>
    <v>9.36</v>
    <v>9.4700000000000006</v>
    <v>9.75</v>
    <v>9.6999999999999993</v>
    <v>11.06</v>
    <v>10.79</v>
    <v>10.51</v>
    <v>10.16</v>
    <v>10.82</v>
    <v>11.38</v>
    <v>11.04</v>
    <v>11.23</v>
    <v>10.68</v>
    <v>10.26</v>
    <v>10.835000000000001</v>
    <v>10.75</v>
    <v>10.6</v>
    <v>11.39</v>
    <v>11.28</v>
    <v>11.21</v>
    <v>11.2</v>
    <v>11.26</v>
    <v>11.23</v>
    <v>11.26</v>
    <v>11.17</v>
    <v>11.16</v>
    <v>11.12</v>
    <v>11.1</v>
    <v>11.15</v>
    <v>11.12</v>
    <v>11.1</v>
    <v>11.16</v>
    <v>11.19</v>
    <v>11.17</v>
    <v>11.16</v>
    <v>11.18</v>
    <v>11.06</v>
    <v>10.68</v>
    <v>10.71</v>
    <v>10.59</v>
    <v>10.78</v>
    <v>10.69</v>
    <v>10.78</v>
    <v>10.91</v>
  </a>
  <a r="1" c="124">
    <v>81.650000000000006</v>
    <v>81.22</v>
    <v>80.89</v>
    <v>81.31</v>
    <v>80.81</v>
    <v>82.02</v>
    <v>83.27</v>
    <v>83.04</v>
    <v>82.51</v>
    <v>82.75</v>
    <v>81.7</v>
    <v>81.39</v>
    <v>81.95</v>
    <v>82.19</v>
    <v>82.45</v>
    <v>83.68</v>
    <v>83.44</v>
    <v>83.85</v>
    <v>84.83</v>
    <v>84.21</v>
    <v>84.99</v>
    <v>85.5</v>
    <v>84.47</v>
    <v>84.25</v>
    <v>84.08</v>
    <v>86.6</v>
    <v>87.18</v>
    <v>88.39</v>
    <v>90.44</v>
    <v>89.5</v>
    <v>91.31</v>
    <v>91.88</v>
    <v>92.5</v>
    <v>92.64</v>
    <v>93.51</v>
    <v>94.45</v>
    <v>95.3</v>
    <v>95.7</v>
    <v>93.83</v>
    <v>94.55</v>
    <v>94.96</v>
    <v>94.09</v>
    <v>94.25</v>
    <v>94.87</v>
    <v>95.42</v>
    <v>93.55</v>
    <v>93.4</v>
    <v>92.24</v>
    <v>90.35</v>
    <v>92.68</v>
    <v>92.79</v>
    <v>91.66</v>
    <v>90.57</v>
    <v>90.35</v>
    <v>90</v>
    <v>90.78</v>
    <v>91.43</v>
    <v>90.81</v>
    <v>91.8</v>
    <v>93</v>
    <v>91.53</v>
    <v>90.79</v>
    <v>91.34</v>
    <v>91.3</v>
    <v>91.94</v>
    <v>93.08</v>
    <v>93.23</v>
    <v>93.81</v>
    <v>94.76</v>
    <v>97.4</v>
    <v>97.29</v>
    <v>97.5</v>
    <v>98.65</v>
    <v>98.16</v>
    <v>99.54</v>
    <v>100.77</v>
    <v>102.46</v>
    <v>102.85</v>
    <v>101.15</v>
    <v>102.92</v>
    <v>102.47</v>
    <v>103.61</v>
    <v>105.05</v>
    <v>104.04</v>
    <v>103.78</v>
    <v>104</v>
    <v>97.21</v>
    <v>94.78</v>
    <v>93.67</v>
    <v>97.69</v>
    <v>96.2</v>
    <v>96.79</v>
    <v>98.61</v>
    <v>97.59</v>
    <v>94.97</v>
    <v>95.98</v>
    <v>94.64</v>
    <v>91.72</v>
    <v>87.82</v>
    <v>87.44</v>
    <v>85.2</v>
    <v>84.5</v>
    <v>85.35</v>
    <v>87.46</v>
    <v>85.59</v>
    <v>86.33</v>
    <v>85.81</v>
    <v>85.98</v>
    <v>87.49</v>
    <v>84.76</v>
    <v>85.21</v>
    <v>85.63</v>
    <v>85.15</v>
    <v>87.79</v>
    <v>88.83</v>
    <v>89.76</v>
    <v>87.26</v>
    <v>83.19</v>
    <v>83.83</v>
    <v>81.790000000000006</v>
    <v>89.6</v>
    <v>90.61</v>
    <v>92.8</v>
    <v>94.73</v>
  </a>
</arrayData>
</file>

<file path=xl/richData/rdrichvalue.xml><?xml version="1.0" encoding="utf-8"?>
<rvData xmlns="http://schemas.microsoft.com/office/spreadsheetml/2017/richdata" count="375">
  <rv s="0">
    <v>https://www.bing.com/financeapi/forcetrigger?t=a25hm7&amp;q=ARCX%3aVOO&amp;form=skydnc</v>
    <v>Learn more on Bing</v>
  </rv>
  <rv s="1">
    <v>en-US</v>
    <v>a25hm7</v>
    <v>268435456</v>
    <v>1</v>
    <v>Powered by Refinitiv</v>
    <v>0</v>
    <v>Vanguard 500 Idx;ETF (ARCX:VOO)</v>
    <v>2</v>
    <v>3</v>
    <v>Finance</v>
    <v>4</v>
    <v>563.91999999999996</v>
    <v>442.8</v>
    <v>1.0002</v>
    <v>-1.23</v>
    <v>-7.9139999999999992E-3</v>
    <v>-2.4819999999999998E-3</v>
    <v>-3.91</v>
    <v>USD</v>
    <v>NYSE Arca</v>
    <v>ARCX</v>
    <v>2.9999999999999997E-4</v>
    <v>499.27</v>
    <v>ETF</v>
    <v>45762.975031921094</v>
    <v>0</v>
    <v>493.42</v>
    <v>590827763408</v>
    <v>Vanguard 500 Idx;ETF</v>
    <v>496.03</v>
    <v>495.48</v>
    <v>494.25</v>
    <v>490.18</v>
    <v>VOO</v>
    <v>Vanguard 500 Idx;ETF (ARCX:VOO)</v>
    <v>8190256</v>
    <v>12276043</v>
  </rv>
  <rv s="2">
    <v>1</v>
  </rv>
  <rv s="0">
    <v>https://www.bing.com/financeapi/forcetrigger?t=a24kjc&amp;q=XNYS%3aTSM&amp;form=skydnc</v>
    <v>Learn more on Bing</v>
  </rv>
  <rv s="3">
    <v>en-US</v>
    <v>a24kjc</v>
    <v>268435456</v>
    <v>1</v>
    <v>Powered by Refinitiv</v>
    <v>5</v>
    <v>Taiwan Semiconductor Manufacturing Co., Ltd. (XNYS:TSM)</v>
    <v>6</v>
    <v>7</v>
    <v>Finance</v>
    <v>8</v>
    <v>226.4</v>
    <v>125.78</v>
    <v>1.2264999999999999</v>
    <v>1.48</v>
    <v>-2.3961999999999997E-2</v>
    <v>9.4970000000000002E-3</v>
    <v>-3.77</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158.25</v>
    <v>Semiconductors &amp; Semiconductor Equipment</v>
    <v>Stock</v>
    <v>45762.975019525002</v>
    <v>3</v>
    <v>156.05000000000001</v>
    <v>693152900000</v>
    <v>Taiwan Semiconductor Manufacturing Co., Ltd.</v>
    <v>Taiwan Semiconductor Manufacturing Co., Ltd.</v>
    <v>156.48500000000001</v>
    <v>22.7974</v>
    <v>155.84</v>
    <v>157.32</v>
    <v>153.56</v>
    <v>5186547000</v>
    <v>TSM</v>
    <v>Taiwan Semiconductor Manufacturing Co., Ltd. (XNYS:TSM)</v>
    <v>14266261</v>
    <v>18624477</v>
    <v>1987</v>
  </rv>
  <rv s="2">
    <v>4</v>
  </rv>
  <rv s="0">
    <v>https://www.bing.com/financeapi/forcetrigger?t=a246z2&amp;q=XNYS%3aTGT&amp;form=skydnc</v>
    <v>Learn more on Bing</v>
  </rv>
  <rv s="3">
    <v>en-US</v>
    <v>a246z2</v>
    <v>268435456</v>
    <v>1</v>
    <v>Powered by Refinitiv</v>
    <v>5</v>
    <v>TARGET CORPORATION (XNYS:TGT)</v>
    <v>6</v>
    <v>7</v>
    <v>Finance</v>
    <v>8</v>
    <v>169.8</v>
    <v>87.35</v>
    <v>1.2701</v>
    <v>-2.5499999999999998</v>
    <v>-4.6700000000000005E-3</v>
    <v>-2.6941000000000003E-2</v>
    <v>-0.43</v>
    <v>USD</v>
    <v>Target Corporation is a general merchandise retailer selling products to its guests through its stores and digital channels. The Company offers customers, referred to as guests, everyday essentials and fashionable, differentiated merchandise at discounted prices. The majority of its stores offer a wide assortment of general merchandise and food. Its merchandise categories include apparel and accessories, beauty and household essentials, food and beverage, hardlines, and home furnishings and decor. Most of its stores are larger than 170,000 square feet, offer a variety of general merchandise and a full line of food items comparable to traditional supermarkets. Its digital channels include a wide merchandise and food assortment, including many items found in its stores, along with a complementary assortment sold by the Company and third parties. Its brands include A New Day, Ava &amp; Viv, Cloud Island, Favorite Day, and others. It serves guests at nearly 2,000 stores and at Target.com.</v>
    <v>440000</v>
    <v>New York Stock Exchange</v>
    <v>XNYS</v>
    <v>XNYS</v>
    <v>1000 Nicollet Mall, MINNEAPOLIS, MN, 55403 US</v>
    <v>94.98</v>
    <v>Diversified Retail</v>
    <v>Stock</v>
    <v>45762.97281015</v>
    <v>6</v>
    <v>91.96</v>
    <v>41958586440</v>
    <v>TARGET CORPORATION</v>
    <v>TARGET CORPORATION</v>
    <v>94.04</v>
    <v>10.3964</v>
    <v>94.65</v>
    <v>92.1</v>
    <v>91.65</v>
    <v>455576400</v>
    <v>TGT</v>
    <v>TARGET CORPORATION (XNYS:TGT)</v>
    <v>6602821</v>
    <v>10044397</v>
    <v>1902</v>
  </rv>
  <rv s="2">
    <v>7</v>
  </rv>
  <rv s="0">
    <v>https://www.bing.com/financeapi/forcetrigger?t=a1yv52&amp;q=XNAS%3aNVDA&amp;form=skydnc</v>
    <v>Learn more on Bing</v>
  </rv>
  <rv s="3">
    <v>en-US</v>
    <v>a1yv52</v>
    <v>268435456</v>
    <v>1</v>
    <v>Powered by Refinitiv</v>
    <v>5</v>
    <v>NVIDIA CORPORATION (XNAS:NVDA)</v>
    <v>6</v>
    <v>7</v>
    <v>Finance</v>
    <v>8</v>
    <v>153.13</v>
    <v>75.605999999999995</v>
    <v>2.0863</v>
    <v>1.49</v>
    <v>-6.0159999999999998E-2</v>
    <v>1.3459E-2</v>
    <v>-6.75</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three-dimensional Internet applications.</v>
    <v>36000</v>
    <v>Nasdaq Stock Market</v>
    <v>XNAS</v>
    <v>XNAS</v>
    <v>2788 San Tomas Expressway, SANTA CLARA, CA, 95051 US</v>
    <v>113.61499999999999</v>
    <v>Semiconductors &amp; Semiconductor Equipment</v>
    <v>Stock</v>
    <v>45762.975067500003</v>
    <v>9</v>
    <v>110.5</v>
    <v>2737680000000</v>
    <v>NVIDIA CORPORATION</v>
    <v>NVIDIA CORPORATION</v>
    <v>110.97</v>
    <v>38.278599999999997</v>
    <v>110.71</v>
    <v>112.2</v>
    <v>105.45</v>
    <v>24400000000</v>
    <v>NVDA</v>
    <v>NVIDIA CORPORATION (XNAS:NVDA)</v>
    <v>227048424</v>
    <v>323520302</v>
    <v>1998</v>
  </rv>
  <rv s="2">
    <v>10</v>
  </rv>
  <rv s="0">
    <v>https://www.bing.com/financeapi/forcetrigger?t=a1retc&amp;q=XNYS%3aDELL&amp;form=skydnc</v>
    <v>Learn more on Bing</v>
  </rv>
  <rv s="3">
    <v>en-US</v>
    <v>a1retc</v>
    <v>268435456</v>
    <v>1</v>
    <v>Powered by Refinitiv</v>
    <v>5</v>
    <v>DELL TECHNOLOGIES INC. (XNYS:DELL)</v>
    <v>6</v>
    <v>7</v>
    <v>Finance</v>
    <v>8</v>
    <v>179.7</v>
    <v>66.245000000000005</v>
    <v>1.0016</v>
    <v>0.35</v>
    <v>-2.4681000000000002E-2</v>
    <v>4.1079999999999997E-3</v>
    <v>-2.11</v>
    <v>USD</v>
    <v>Dell Technologies Inc. is engaged in designing, developing, manufacturing, marketing, selling, and supporting a wide range of comprehensive and integrated solutions, products, and services. The Company operates through two segments: Infrastructure Solutions Group (ISG) and Client Solutions Group (CSG). Its ISG segment enables the Company’s customer’s digital transformation with solutions that address artificial intelligence (AI), machine learning, data analytics, and multi cloud environments. Its comprehensive storage portfolio includes modern and traditional storage solutions, including all-flash arrays, scale-out file, object platforms, hyper-converged infrastructure, and software-defined storage. Its CSG segment offers branded personal computers (PCs) including notebooks, desktops, and workstations and branded peripherals that include displays, docking stations, keyboards, mice, and webcam and audio devices, as well as third-party software and peripherals.</v>
    <v>108000</v>
    <v>New York Stock Exchange</v>
    <v>XNYS</v>
    <v>XNYS</v>
    <v>ONE DELL WAY, ROUND ROCK, TX, 78682 US</v>
    <v>86.897499999999994</v>
    <v>Computers, Phones &amp; Household Electronics</v>
    <v>Stock</v>
    <v>45762.974683228909</v>
    <v>12</v>
    <v>84.320499999999996</v>
    <v>59693302032</v>
    <v>DELL TECHNOLOGIES INC.</v>
    <v>DELL TECHNOLOGIES INC.</v>
    <v>84.62</v>
    <v>13.407500000000001</v>
    <v>85.19</v>
    <v>85.54</v>
    <v>83.38</v>
    <v>697840800</v>
    <v>DELL</v>
    <v>DELL TECHNOLOGIES INC. (XNYS:DELL)</v>
    <v>5722248</v>
    <v>9334810</v>
    <v>2013</v>
  </rv>
  <rv s="2">
    <v>13</v>
  </rv>
  <rv s="0">
    <v>https://www.bing.com/financeapi/forcetrigger?t=a25ya2&amp;q=XNYS%3aWMT&amp;form=skydnc</v>
    <v>Learn more on Bing</v>
  </rv>
  <rv s="3">
    <v>en-US</v>
    <v>a25ya2</v>
    <v>268435456</v>
    <v>1</v>
    <v>Powered by Refinitiv</v>
    <v>5</v>
    <v>WALMART INC. (XNYS:WMT)</v>
    <v>6</v>
    <v>7</v>
    <v>Finance</v>
    <v>8</v>
    <v>105.3</v>
    <v>58.555</v>
    <v>0.67820000000000003</v>
    <v>-0.74</v>
    <v>-6.5980000000000006E-3</v>
    <v>-7.8120000000000004E-3</v>
    <v>-0.62</v>
    <v>USD</v>
    <v>Walmart Inc. is a technology-powered omnichannel retailer. The Company is engaged in the operation of retail and wholesale stores and clubs, as well as eCommerce Websites and mobile applications, located throughout the United States (U.S.), Africa, Canada, Central America, Chile, China, India and Mexico. It operates in three reportable segments: Walmart U.S., Walmart International and Sam's Club U.S. The Walmart U.S. segment includes the Company's mass merchandising concept in the U.S., as well as eCommerce, which includes omni-channel initiatives and certain other business offerings such as advertising services. The Walmart International segment consists of the Company's operations outside of the U.S. through its subsidiaries, as well as eCommerce and omni-channel initiatives. The Sam's Club U.S. segment includes the warehouse membership clubs in the U.S., as well as samsclub.com and omni-channel initiatives.</v>
    <v>2100000</v>
    <v>New York Stock Exchange</v>
    <v>XNYS</v>
    <v>XNYS</v>
    <v>702 SW 8th St, BENTONVILLE, AR, 72716-6209 US</v>
    <v>96.03</v>
    <v>Food &amp; Drug Retailing</v>
    <v>Stock</v>
    <v>45762.975012685158</v>
    <v>15</v>
    <v>93.87</v>
    <v>753503731500</v>
    <v>WALMART INC.</v>
    <v>WALMART INC.</v>
    <v>94.82</v>
    <v>39.079500000000003</v>
    <v>94.73</v>
    <v>93.99</v>
    <v>93.35</v>
    <v>8016850000</v>
    <v>WMT</v>
    <v>WALMART INC. (XNYS:WMT)</v>
    <v>21869882</v>
    <v>27764819</v>
    <v>1969</v>
  </rv>
  <rv s="2">
    <v>16</v>
  </rv>
  <rv s="0">
    <v>https://www.bing.com/financeapi/forcetrigger?t=a25pm7&amp;q=XNAS%3aWBA&amp;form=skydnc</v>
    <v>Learn more on Bing</v>
  </rv>
  <rv s="3">
    <v>en-US</v>
    <v>a25pm7</v>
    <v>268435456</v>
    <v>1</v>
    <v>Powered by Refinitiv</v>
    <v>5</v>
    <v>WALGREENS BOOTS ALLIANCE, INC. (XNAS:WBA)</v>
    <v>6</v>
    <v>7</v>
    <v>Finance</v>
    <v>8</v>
    <v>18.829999999999998</v>
    <v>8.08</v>
    <v>0.73009999999999997</v>
    <v>-0.06</v>
    <v>9.1240000000000006E-4</v>
    <v>-5.5000000000000005E-3</v>
    <v>9.9000000000000008E-3</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10.9</v>
    <v>Food &amp; Drug Retailing</v>
    <v>Stock</v>
    <v>45762.971716921093</v>
    <v>18</v>
    <v>10.82</v>
    <v>9382406215</v>
    <v>WALGREENS BOOTS ALLIANCE, INC.</v>
    <v>WALGREENS BOOTS ALLIANCE, INC.</v>
    <v>10.89</v>
    <v>0</v>
    <v>10.91</v>
    <v>10.85</v>
    <v>10.8599</v>
    <v>864737900</v>
    <v>WBA</v>
    <v>WALGREENS BOOTS ALLIANCE, INC. (XNAS:WBA)</v>
    <v>7358681</v>
    <v>16828721</v>
    <v>2014</v>
  </rv>
  <rv s="2">
    <v>19</v>
  </rv>
  <rv s="0">
    <v>https://www.bing.com/financeapi/forcetrigger?t=a1u3rw&amp;q=XNAS%3aGOOGL&amp;form=skydnc</v>
    <v>Learn more on Bing</v>
  </rv>
  <rv s="3">
    <v>en-US</v>
    <v>a1u3rw</v>
    <v>268435456</v>
    <v>1</v>
    <v>Powered by Refinitiv</v>
    <v>5</v>
    <v>ALPHABET INC. (XNAS:GOOGL)</v>
    <v>6</v>
    <v>7</v>
    <v>Finance</v>
    <v>8</v>
    <v>207.05</v>
    <v>140.53</v>
    <v>0.99199999999999999</v>
    <v>-2.76</v>
    <v>-6.2060000000000006E-3</v>
    <v>-1.7351000000000002E-2</v>
    <v>-0.97</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183323</v>
    <v>Nasdaq Stock Market</v>
    <v>XNAS</v>
    <v>XNAS</v>
    <v>1600 Amphitheatre Parkway, MOUNTAIN VIEW, CA, 94043 US</v>
    <v>159.65</v>
    <v>Software &amp; IT Services</v>
    <v>Stock</v>
    <v>45762.97503820547</v>
    <v>21</v>
    <v>155.21</v>
    <v>1955163000000</v>
    <v>ALPHABET INC.</v>
    <v>ALPHABET INC.</v>
    <v>159.125</v>
    <v>19.415199999999999</v>
    <v>159.07</v>
    <v>156.31</v>
    <v>155.34</v>
    <v>12208000000</v>
    <v>GOOGL</v>
    <v>ALPHABET INC. (XNAS:GOOGL)</v>
    <v>27530488</v>
    <v>39681360</v>
    <v>2015</v>
  </rv>
  <rv s="2">
    <v>22</v>
  </rv>
  <rv s="0">
    <v>https://www.bing.com/financeapi/forcetrigger?t=bwtkp2&amp;q=XNAS%3aRKLB&amp;form=skydnc</v>
    <v>Learn more on Bing</v>
  </rv>
  <rv s="3">
    <v>en-US</v>
    <v>bwtkp2</v>
    <v>268435456</v>
    <v>1</v>
    <v>Powered by Refinitiv</v>
    <v>5</v>
    <v>ROCKET LAB USA, INC. (XNAS:RKLB)</v>
    <v>6</v>
    <v>7</v>
    <v>Finance</v>
    <v>8</v>
    <v>33.340000000000003</v>
    <v>3.47</v>
    <v>2.0337000000000001</v>
    <v>1.94</v>
    <v>-2.4205000000000001E-2</v>
    <v>0.101411</v>
    <v>-0.51</v>
    <v>USD</v>
    <v>Rocket Lab USA, Inc. is an end-to-end space company. The Company designs and manufactures small and medium-class rockets, spacecraft and spacecraft components, and related software and services to support the space economy. The Company delivers reliable launch services, satellite manufacture, spacecraft design services, spacecraft components, spacecraft manufacturing, and other spacecraft and on-orbit management solutions that make it easier to access space. Its Launch Services segment provides launch and launch-related services to customers on a dedicated mission or ride-share basis. Its Space Systems segment comprises the design and manufacture of spacecraft components and spacecraft program management services, space data applications, and mission operations. Its space systems solutions are the building blocks for spacecraft, which include composite structures, reaction wheels, star trackers, solar solutions, radios, separation systems, and command and control spacecraft software.</v>
    <v>2100</v>
    <v>Nasdaq Stock Market</v>
    <v>XNAS</v>
    <v>XNAS</v>
    <v>3881 Mcgowen Street, LONG BEACH, CA, 90808 US</v>
    <v>22.1</v>
    <v>Aerospace &amp; Defense</v>
    <v>Stock</v>
    <v>45762.974901435155</v>
    <v>24</v>
    <v>19.77</v>
    <v>9556195257</v>
    <v>ROCKET LAB USA, INC.</v>
    <v>ROCKET LAB USA, INC.</v>
    <v>19.95</v>
    <v>0</v>
    <v>19.13</v>
    <v>21.07</v>
    <v>20.56</v>
    <v>453545100</v>
    <v>RKLB</v>
    <v>ROCKET LAB USA, INC. (XNAS:RKLB)</v>
    <v>30412988</v>
    <v>16014219</v>
    <v>2021</v>
  </rv>
  <rv s="2">
    <v>25</v>
  </rv>
  <rv s="4">
    <v>12</v>
    <v>Ticker symbol</v>
    <v>0</v>
  </rv>
  <rv s="5">
    <fb>45580</fb>
    <v>9</v>
  </rv>
  <rv s="5">
    <fb>81.650000000000006</fb>
    <v>10</v>
  </rv>
  <rv s="5">
    <fb>10.42</fb>
    <v>10</v>
  </rv>
  <rv s="5">
    <fb>45581</fb>
    <v>9</v>
  </rv>
  <rv s="5">
    <fb>81.22</fb>
    <v>10</v>
  </rv>
  <rv s="5">
    <fb>11.07</fb>
    <v>10</v>
  </rv>
  <rv s="5">
    <fb>45582</fb>
    <v>9</v>
  </rv>
  <rv s="5">
    <fb>80.89</fb>
    <v>10</v>
  </rv>
  <rv s="5">
    <fb>10.66</fb>
    <v>10</v>
  </rv>
  <rv s="5">
    <fb>45583</fb>
    <v>9</v>
  </rv>
  <rv s="5">
    <fb>81.31</fb>
    <v>10</v>
  </rv>
  <rv s="5">
    <fb>10.79</fb>
    <v>10</v>
  </rv>
  <rv s="5">
    <fb>45586</fb>
    <v>9</v>
  </rv>
  <rv s="5">
    <fb>80.81</fb>
    <v>10</v>
  </rv>
  <rv s="5">
    <fb>10.45</fb>
    <v>10</v>
  </rv>
  <rv s="5">
    <fb>45587</fb>
    <v>9</v>
  </rv>
  <rv s="5">
    <fb>82.02</fb>
    <v>10</v>
  </rv>
  <rv s="5">
    <fb>9.73</fb>
    <v>10</v>
  </rv>
  <rv s="5">
    <fb>45588</fb>
    <v>9</v>
  </rv>
  <rv s="5">
    <fb>83.27</fb>
    <v>10</v>
  </rv>
  <rv s="5">
    <fb>9.35</fb>
    <v>10</v>
  </rv>
  <rv s="5">
    <fb>45589</fb>
    <v>9</v>
  </rv>
  <rv s="5">
    <fb>83.04</fb>
    <v>10</v>
  </rv>
  <rv s="5">
    <fb>9.34</fb>
    <v>10</v>
  </rv>
  <rv s="5">
    <fb>45590</fb>
    <v>9</v>
  </rv>
  <rv s="5">
    <fb>82.51</fb>
    <v>10</v>
  </rv>
  <rv s="5">
    <fb>9.26</fb>
    <v>10</v>
  </rv>
  <rv s="5">
    <fb>45593</fb>
    <v>9</v>
  </rv>
  <rv s="5">
    <fb>82.75</fb>
    <v>10</v>
  </rv>
  <rv s="5">
    <fb>9.44</fb>
    <v>10</v>
  </rv>
  <rv s="5">
    <fb>45594</fb>
    <v>9</v>
  </rv>
  <rv s="5">
    <fb>81.7</fb>
    <v>10</v>
  </rv>
  <rv s="5">
    <fb>45595</fb>
    <v>9</v>
  </rv>
  <rv s="5">
    <fb>81.39</fb>
    <v>10</v>
  </rv>
  <rv s="5">
    <fb>9.24</fb>
    <v>10</v>
  </rv>
  <rv s="5">
    <fb>45596</fb>
    <v>9</v>
  </rv>
  <rv s="5">
    <fb>81.95</fb>
    <v>10</v>
  </rv>
  <rv s="5">
    <fb>9.4600000000000009</fb>
    <v>10</v>
  </rv>
  <rv s="5">
    <fb>45597</fb>
    <v>9</v>
  </rv>
  <rv s="5">
    <fb>82.19</fb>
    <v>10</v>
  </rv>
  <rv s="5">
    <fb>45600</fb>
    <v>9</v>
  </rv>
  <rv s="5">
    <fb>82.45</fb>
    <v>10</v>
  </rv>
  <rv s="5">
    <fb>9.33</fb>
    <v>10</v>
  </rv>
  <rv s="5">
    <fb>45601</fb>
    <v>9</v>
  </rv>
  <rv s="5">
    <fb>83.68</fb>
    <v>10</v>
  </rv>
  <rv s="5">
    <fb>9.6199999999999992</fb>
    <v>10</v>
  </rv>
  <rv s="5">
    <fb>45602</fb>
    <v>9</v>
  </rv>
  <rv s="5">
    <fb>83.44</fb>
    <v>10</v>
  </rv>
  <rv s="5">
    <fb>9.23</fb>
    <v>10</v>
  </rv>
  <rv s="5">
    <fb>45603</fb>
    <v>9</v>
  </rv>
  <rv s="5">
    <fb>83.85</fb>
    <v>10</v>
  </rv>
  <rv s="5">
    <fb>9.27</fb>
    <v>10</v>
  </rv>
  <rv s="5">
    <fb>45604</fb>
    <v>9</v>
  </rv>
  <rv s="5">
    <fb>84.83</fb>
    <v>10</v>
  </rv>
  <rv s="5">
    <fb>9.07</fb>
    <v>10</v>
  </rv>
  <rv s="5">
    <fb>45607</fb>
    <v>9</v>
  </rv>
  <rv s="5">
    <fb>84.21</fb>
    <v>10</v>
  </rv>
  <rv s="5">
    <fb>9.39</fb>
    <v>10</v>
  </rv>
  <rv s="5">
    <fb>45608</fb>
    <v>9</v>
  </rv>
  <rv s="5">
    <fb>84.99</fb>
    <v>10</v>
  </rv>
  <rv s="5">
    <fb>9.01</fb>
    <v>10</v>
  </rv>
  <rv s="5">
    <fb>45609</fb>
    <v>9</v>
  </rv>
  <rv s="5">
    <fb>85.5</fb>
    <v>10</v>
  </rv>
  <rv s="5">
    <fb>9.0299999999999994</fb>
    <v>10</v>
  </rv>
  <rv s="5">
    <fb>45610</fb>
    <v>9</v>
  </rv>
  <rv s="5">
    <fb>84.47</fb>
    <v>10</v>
  </rv>
  <rv s="5">
    <fb>8.81</fb>
    <v>10</v>
  </rv>
  <rv s="5">
    <fb>45611</fb>
    <v>9</v>
  </rv>
  <rv s="5">
    <fb>84.25</fb>
    <v>10</v>
  </rv>
  <rv s="5">
    <fb>8.48</fb>
    <v>10</v>
  </rv>
  <rv s="5">
    <fb>45614</fb>
    <v>9</v>
  </rv>
  <rv s="5">
    <fb>84.08</fb>
    <v>10</v>
  </rv>
  <rv s="5">
    <fb>8.66</fb>
    <v>10</v>
  </rv>
  <rv s="5">
    <fb>45615</fb>
    <v>9</v>
  </rv>
  <rv s="5">
    <fb>86.6</fb>
    <v>10</v>
  </rv>
  <rv s="5">
    <fb>8.2899999999999991</fb>
    <v>10</v>
  </rv>
  <rv s="5">
    <fb>45616</fb>
    <v>9</v>
  </rv>
  <rv s="5">
    <fb>87.18</fb>
    <v>10</v>
  </rv>
  <rv s="5">
    <fb>8.24</fb>
    <v>10</v>
  </rv>
  <rv s="5">
    <fb>45617</fb>
    <v>9</v>
  </rv>
  <rv s="5">
    <fb>88.39</fb>
    <v>10</v>
  </rv>
  <rv s="5">
    <fb>8.3000000000000007</fb>
    <v>10</v>
  </rv>
  <rv s="5">
    <fb>45618</fb>
    <v>9</v>
  </rv>
  <rv s="5">
    <fb>90.44</fb>
    <v>10</v>
  </rv>
  <rv s="5">
    <fb>45621</fb>
    <v>9</v>
  </rv>
  <rv s="5">
    <fb>89.5</fb>
    <v>10</v>
  </rv>
  <rv s="5">
    <fb>9.06</fb>
    <v>10</v>
  </rv>
  <rv s="5">
    <fb>45622</fb>
    <v>9</v>
  </rv>
  <rv s="5">
    <fb>91.31</fb>
    <v>10</v>
  </rv>
  <rv s="5">
    <fb>8.73</fb>
    <v>10</v>
  </rv>
  <rv s="5">
    <fb>45623</fb>
    <v>9</v>
  </rv>
  <rv s="5">
    <fb>91.88</fb>
    <v>10</v>
  </rv>
  <rv s="5">
    <fb>45625</fb>
    <v>9</v>
  </rv>
  <rv s="5">
    <fb>92.5</fb>
    <v>10</v>
  </rv>
  <rv s="5">
    <fb>9.02</fb>
    <v>10</v>
  </rv>
  <rv s="5">
    <fb>45628</fb>
    <v>9</v>
  </rv>
  <rv s="5">
    <fb>92.64</fb>
    <v>10</v>
  </rv>
  <rv s="5">
    <fb>8.98</fb>
    <v>10</v>
  </rv>
  <rv s="5">
    <fb>45629</fb>
    <v>9</v>
  </rv>
  <rv s="5">
    <fb>93.51</fb>
    <v>10</v>
  </rv>
  <rv s="5">
    <fb>8.9499999999999993</fb>
    <v>10</v>
  </rv>
  <rv s="5">
    <fb>45630</fb>
    <v>9</v>
  </rv>
  <rv s="5">
    <fb>94.45</fb>
    <v>10</v>
  </rv>
  <rv s="5">
    <fb>8.74</fb>
    <v>10</v>
  </rv>
  <rv s="5">
    <fb>45631</fb>
    <v>9</v>
  </rv>
  <rv s="5">
    <fb>95.3</fb>
    <v>10</v>
  </rv>
  <rv s="5">
    <fb>8.4700000000000006</fb>
    <v>10</v>
  </rv>
  <rv s="5">
    <fb>45632</fb>
    <v>9</v>
  </rv>
  <rv s="5">
    <fb>95.7</fb>
    <v>10</v>
  </rv>
  <rv s="5">
    <fb>8.56</fb>
    <v>10</v>
  </rv>
  <rv s="5">
    <fb>45635</fb>
    <v>9</v>
  </rv>
  <rv s="5">
    <fb>93.83</fb>
    <v>10</v>
  </rv>
  <rv s="5">
    <fb>8.85</fb>
    <v>10</v>
  </rv>
  <rv s="5">
    <fb>45636</fb>
    <v>9</v>
  </rv>
  <rv s="5">
    <fb>94.55</fb>
    <v>10</v>
  </rv>
  <rv s="5">
    <fb>45637</fb>
    <v>9</v>
  </rv>
  <rv s="5">
    <fb>94.96</fb>
    <v>10</v>
  </rv>
  <rv s="5">
    <fb>9.84</fb>
    <v>10</v>
  </rv>
  <rv s="5">
    <fb>45638</fb>
    <v>9</v>
  </rv>
  <rv s="5">
    <fb>94.09</fb>
    <v>10</v>
  </rv>
  <rv s="5">
    <fb>45639</fb>
    <v>9</v>
  </rv>
  <rv s="5">
    <fb>94.25</fb>
    <v>10</v>
  </rv>
  <rv s="5">
    <fb>10.39</fb>
    <v>10</v>
  </rv>
  <rv s="5">
    <fb>45642</fb>
    <v>9</v>
  </rv>
  <rv s="5">
    <fb>94.87</fb>
    <v>10</v>
  </rv>
  <rv s="5">
    <fb>10.18</fb>
    <v>10</v>
  </rv>
  <rv s="5">
    <fb>45643</fb>
    <v>9</v>
  </rv>
  <rv s="5">
    <fb>95.42</fb>
    <v>10</v>
  </rv>
  <rv s="5">
    <fb>9.9700000000000006</fb>
    <v>10</v>
  </rv>
  <rv s="5">
    <fb>45644</fb>
    <v>9</v>
  </rv>
  <rv s="5">
    <fb>93.55</fb>
    <v>10</v>
  </rv>
  <rv s="5">
    <fb>9.6999999999999993</fb>
    <v>10</v>
  </rv>
  <rv s="5">
    <fb>45645</fb>
    <v>9</v>
  </rv>
  <rv s="5">
    <fb>93.4</fb>
    <v>10</v>
  </rv>
  <rv s="5">
    <fb>45646</fb>
    <v>9</v>
  </rv>
  <rv s="5">
    <fb>92.24</fb>
    <v>10</v>
  </rv>
  <rv s="5">
    <fb>9.5500000000000007</fb>
    <v>10</v>
  </rv>
  <rv s="5">
    <fb>45649</fb>
    <v>9</v>
  </rv>
  <rv s="5">
    <fb>90.35</fb>
    <v>10</v>
  </rv>
  <rv s="5">
    <fb>9.3000000000000007</fb>
    <v>10</v>
  </rv>
  <rv s="5">
    <fb>45650</fb>
    <v>9</v>
  </rv>
  <rv s="5">
    <fb>92.68</fb>
    <v>10</v>
  </rv>
  <rv s="5">
    <fb>9.19</fb>
    <v>10</v>
  </rv>
  <rv s="5">
    <fb>45652</fb>
    <v>9</v>
  </rv>
  <rv s="5">
    <fb>92.79</fb>
    <v>10</v>
  </rv>
  <rv s="5">
    <fb>9.68</fb>
    <v>10</v>
  </rv>
  <rv s="5">
    <fb>45653</fb>
    <v>9</v>
  </rv>
  <rv s="5">
    <fb>91.66</fb>
    <v>10</v>
  </rv>
  <rv s="5">
    <fb>45656</fb>
    <v>9</v>
  </rv>
  <rv s="5">
    <fb>90.57</fb>
    <v>10</v>
  </rv>
  <rv s="5">
    <fb>45657</fb>
    <v>9</v>
  </rv>
  <rv s="5">
    <fb>45659</fb>
    <v>9</v>
  </rv>
  <rv s="5">
    <fb>90</fb>
    <v>10</v>
  </rv>
  <rv s="5">
    <fb>45660</fb>
    <v>9</v>
  </rv>
  <rv s="5">
    <fb>90.78</fb>
    <v>10</v>
  </rv>
  <rv s="5">
    <fb>9.5</fb>
    <v>10</v>
  </rv>
  <rv s="5">
    <fb>45663</fb>
    <v>9</v>
  </rv>
  <rv s="5">
    <fb>91.43</fb>
    <v>10</v>
  </rv>
  <rv s="5">
    <fb>9.4700000000000006</fb>
    <v>10</v>
  </rv>
  <rv s="5">
    <fb>45664</fb>
    <v>9</v>
  </rv>
  <rv s="5">
    <fb>90.81</fb>
    <v>10</v>
  </rv>
  <rv s="5">
    <fb>9.67</fb>
    <v>10</v>
  </rv>
  <rv s="5">
    <fb>45665</fb>
    <v>9</v>
  </rv>
  <rv s="5">
    <fb>91.8</fb>
    <v>10</v>
  </rv>
  <rv s="5">
    <fb>9.2200000000000006</fb>
    <v>10</v>
  </rv>
  <rv s="5">
    <fb>45667</fb>
    <v>9</v>
  </rv>
  <rv s="5">
    <fb>93</fb>
    <v>10</v>
  </rv>
  <rv s="5">
    <fb>11.76</fb>
    <v>10</v>
  </rv>
  <rv s="5">
    <fb>45670</fb>
    <v>9</v>
  </rv>
  <rv s="5">
    <fb>91.53</fb>
    <v>10</v>
  </rv>
  <rv s="5">
    <fb>11.9</fb>
    <v>10</v>
  </rv>
  <rv s="5">
    <fb>45671</fb>
    <v>9</v>
  </rv>
  <rv s="5">
    <fb>90.79</fb>
    <v>10</v>
  </rv>
  <rv s="5">
    <fb>12.24</fb>
    <v>10</v>
  </rv>
  <rv s="5">
    <fb>45672</fb>
    <v>9</v>
  </rv>
  <rv s="5">
    <fb>91.34</fb>
    <v>10</v>
  </rv>
  <rv s="5">
    <fb>12.53</fb>
    <v>10</v>
  </rv>
  <rv s="5">
    <fb>45673</fb>
    <v>9</v>
  </rv>
  <rv s="5">
    <fb>91.3</fb>
    <v>10</v>
  </rv>
  <rv s="5">
    <fb>12.93</fb>
    <v>10</v>
  </rv>
  <rv s="5">
    <fb>45674</fb>
    <v>9</v>
  </rv>
  <rv s="5">
    <fb>91.94</fb>
    <v>10</v>
  </rv>
  <rv s="5">
    <fb>12.52</fb>
    <v>10</v>
  </rv>
  <rv s="5">
    <fb>45678</fb>
    <v>9</v>
  </rv>
  <rv s="5">
    <fb>93.08</fb>
    <v>10</v>
  </rv>
  <rv s="5">
    <fb>11.37</fb>
    <v>10</v>
  </rv>
  <rv s="5">
    <fb>45679</fb>
    <v>9</v>
  </rv>
  <rv s="5">
    <fb>93.23</fb>
    <v>10</v>
  </rv>
  <rv s="5">
    <fb>11.62</fb>
    <v>10</v>
  </rv>
  <rv s="5">
    <fb>45680</fb>
    <v>9</v>
  </rv>
  <rv s="5">
    <fb>93.81</fb>
    <v>10</v>
  </rv>
  <rv s="5">
    <fb>11.74</fb>
    <v>10</v>
  </rv>
  <rv s="5">
    <fb>45681</fb>
    <v>9</v>
  </rv>
  <rv s="5">
    <fb>94.76</fb>
    <v>10</v>
  </rv>
  <rv s="5">
    <fb>11.87</fb>
    <v>10</v>
  </rv>
  <rv s="5">
    <fb>45684</fb>
    <v>9</v>
  </rv>
  <rv s="5">
    <fb>97.4</fb>
    <v>10</v>
  </rv>
  <rv s="5">
    <fb>11.34</fb>
    <v>10</v>
  </rv>
  <rv s="5">
    <fb>45685</fb>
    <v>9</v>
  </rv>
  <rv s="5">
    <fb>97.29</fb>
    <v>10</v>
  </rv>
  <rv s="5">
    <fb>10.89</fb>
    <v>10</v>
  </rv>
  <rv s="5">
    <fb>45686</fb>
    <v>9</v>
  </rv>
  <rv s="5">
    <fb>97.5</fb>
    <v>10</v>
  </rv>
  <rv s="5">
    <fb>11.25</fb>
    <v>10</v>
  </rv>
  <rv s="5">
    <fb>45687</fb>
    <v>9</v>
  </rv>
  <rv s="5">
    <fb>98.65</fb>
    <v>10</v>
  </rv>
  <rv s="5">
    <fb>11.46</fb>
    <v>10</v>
  </rv>
  <rv s="5">
    <fb>45688</fb>
    <v>9</v>
  </rv>
  <rv s="5">
    <fb>98.16</fb>
    <v>10</v>
  </rv>
  <rv s="5">
    <fb>10.28</fb>
    <v>10</v>
  </rv>
  <rv s="5">
    <fb>45691</fb>
    <v>9</v>
  </rv>
  <rv s="5">
    <fb>99.54</fb>
    <v>10</v>
  </rv>
  <rv s="5">
    <fb>9.76</fb>
    <v>10</v>
  </rv>
  <rv s="5">
    <fb>45692</fb>
    <v>9</v>
  </rv>
  <rv s="5">
    <fb>100.77</fb>
    <v>10</v>
  </rv>
  <rv s="5">
    <fb>9.89</fb>
    <v>10</v>
  </rv>
  <rv s="5">
    <fb>45693</fb>
    <v>9</v>
  </rv>
  <rv s="5">
    <fb>102.46</fb>
    <v>10</v>
  </rv>
  <rv s="5">
    <fb>10.119999999999999</fb>
    <v>10</v>
  </rv>
  <rv s="5">
    <fb>45694</fb>
    <v>9</v>
  </rv>
  <rv s="5">
    <fb>102.85</fb>
    <v>10</v>
  </rv>
  <rv s="5">
    <fb>10.050000000000001</fb>
    <v>10</v>
  </rv>
  <rv s="5">
    <fb>45695</fb>
    <v>9</v>
  </rv>
  <rv s="5">
    <fb>101.15</fb>
    <v>10</v>
  </rv>
  <rv s="5">
    <fb>45698</fb>
    <v>9</v>
  </rv>
  <rv s="5">
    <fb>102.92</fb>
    <v>10</v>
  </rv>
  <rv s="5">
    <fb>45699</fb>
    <v>9</v>
  </rv>
  <rv s="5">
    <fb>102.47</fb>
    <v>10</v>
  </rv>
  <rv s="5">
    <fb>9.36</fb>
    <v>10</v>
  </rv>
  <rv s="5">
    <fb>45700</fb>
    <v>9</v>
  </rv>
  <rv s="5">
    <fb>103.61</fb>
    <v>10</v>
  </rv>
  <rv s="5">
    <fb>45701</fb>
    <v>9</v>
  </rv>
  <rv s="5">
    <fb>105.05</fb>
    <v>10</v>
  </rv>
  <rv s="5">
    <fb>9.75</fb>
    <v>10</v>
  </rv>
  <rv s="5">
    <fb>45702</fb>
    <v>9</v>
  </rv>
  <rv s="5">
    <fb>104.04</fb>
    <v>10</v>
  </rv>
  <rv s="5">
    <fb>45706</fb>
    <v>9</v>
  </rv>
  <rv s="5">
    <fb>103.78</fb>
    <v>10</v>
  </rv>
  <rv s="5">
    <fb>11.06</fb>
    <v>10</v>
  </rv>
  <rv s="5">
    <fb>45707</fb>
    <v>9</v>
  </rv>
  <rv s="5">
    <fb>104</fb>
    <v>10</v>
  </rv>
  <rv s="5">
    <fb>45708</fb>
    <v>9</v>
  </rv>
  <rv s="5">
    <fb>97.21</fb>
    <v>10</v>
  </rv>
  <rv s="5">
    <fb>10.51</fb>
    <v>10</v>
  </rv>
  <rv s="5">
    <fb>45709</fb>
    <v>9</v>
  </rv>
  <rv s="5">
    <fb>94.78</fb>
    <v>10</v>
  </rv>
  <rv s="5">
    <fb>10.16</fb>
    <v>10</v>
  </rv>
  <rv s="5">
    <fb>45712</fb>
    <v>9</v>
  </rv>
  <rv s="5">
    <fb>93.67</fb>
    <v>10</v>
  </rv>
  <rv s="5">
    <fb>10.82</fb>
    <v>10</v>
  </rv>
  <rv s="5">
    <fb>45713</fb>
    <v>9</v>
  </rv>
  <rv s="5">
    <fb>97.69</fb>
    <v>10</v>
  </rv>
  <rv s="5">
    <fb>11.38</fb>
    <v>10</v>
  </rv>
  <rv s="5">
    <fb>45714</fb>
    <v>9</v>
  </rv>
  <rv s="5">
    <fb>96.2</fb>
    <v>10</v>
  </rv>
  <rv s="5">
    <fb>11.04</fb>
    <v>10</v>
  </rv>
  <rv s="5">
    <fb>45715</fb>
    <v>9</v>
  </rv>
  <rv s="5">
    <fb>96.79</fb>
    <v>10</v>
  </rv>
  <rv s="5">
    <fb>11.23</fb>
    <v>10</v>
  </rv>
  <rv s="5">
    <fb>45716</fb>
    <v>9</v>
  </rv>
  <rv s="5">
    <fb>98.61</fb>
    <v>10</v>
  </rv>
  <rv s="5">
    <fb>10.68</fb>
    <v>10</v>
  </rv>
  <rv s="5">
    <fb>45719</fb>
    <v>9</v>
  </rv>
  <rv s="5">
    <fb>97.59</fb>
    <v>10</v>
  </rv>
  <rv s="5">
    <fb>10.26</fb>
    <v>10</v>
  </rv>
  <rv s="5">
    <fb>45720</fb>
    <v>9</v>
  </rv>
  <rv s="5">
    <fb>94.97</fb>
    <v>10</v>
  </rv>
  <rv s="5">
    <fb>10.835000000000001</fb>
    <v>10</v>
  </rv>
  <rv s="5">
    <fb>45721</fb>
    <v>9</v>
  </rv>
  <rv s="5">
    <fb>95.98</fb>
    <v>10</v>
  </rv>
  <rv s="5">
    <fb>10.75</fb>
    <v>10</v>
  </rv>
  <rv s="5">
    <fb>45722</fb>
    <v>9</v>
  </rv>
  <rv s="5">
    <fb>94.64</fb>
    <v>10</v>
  </rv>
  <rv s="5">
    <fb>10.6</fb>
    <v>10</v>
  </rv>
  <rv s="5">
    <fb>45723</fb>
    <v>9</v>
  </rv>
  <rv s="5">
    <fb>91.72</fb>
    <v>10</v>
  </rv>
  <rv s="5">
    <fb>11.39</fb>
    <v>10</v>
  </rv>
  <rv s="5">
    <fb>45726</fb>
    <v>9</v>
  </rv>
  <rv s="5">
    <fb>87.82</fb>
    <v>10</v>
  </rv>
  <rv s="5">
    <fb>11.28</fb>
    <v>10</v>
  </rv>
  <rv s="5">
    <fb>45727</fb>
    <v>9</v>
  </rv>
  <rv s="5">
    <fb>87.44</fb>
    <v>10</v>
  </rv>
  <rv s="5">
    <fb>11.21</fb>
    <v>10</v>
  </rv>
  <rv s="5">
    <fb>45728</fb>
    <v>9</v>
  </rv>
  <rv s="5">
    <fb>85.2</fb>
    <v>10</v>
  </rv>
  <rv s="5">
    <fb>11.2</fb>
    <v>10</v>
  </rv>
  <rv s="5">
    <fb>45729</fb>
    <v>9</v>
  </rv>
  <rv s="5">
    <fb>84.5</fb>
    <v>10</v>
  </rv>
  <rv s="5">
    <fb>11.26</fb>
    <v>10</v>
  </rv>
  <rv s="5">
    <fb>45730</fb>
    <v>9</v>
  </rv>
  <rv s="5">
    <fb>85.35</fb>
    <v>10</v>
  </rv>
  <rv s="5">
    <fb>45733</fb>
    <v>9</v>
  </rv>
  <rv s="5">
    <fb>87.46</fb>
    <v>10</v>
  </rv>
  <rv s="5">
    <fb>45734</fb>
    <v>9</v>
  </rv>
  <rv s="5">
    <fb>85.59</fb>
    <v>10</v>
  </rv>
  <rv s="5">
    <fb>11.17</fb>
    <v>10</v>
  </rv>
  <rv s="5">
    <fb>45735</fb>
    <v>9</v>
  </rv>
  <rv s="5">
    <fb>86.33</fb>
    <v>10</v>
  </rv>
  <rv s="5">
    <fb>11.16</fb>
    <v>10</v>
  </rv>
  <rv s="5">
    <fb>45736</fb>
    <v>9</v>
  </rv>
  <rv s="5">
    <fb>85.81</fb>
    <v>10</v>
  </rv>
  <rv s="5">
    <fb>11.12</fb>
    <v>10</v>
  </rv>
  <rv s="5">
    <fb>45737</fb>
    <v>9</v>
  </rv>
  <rv s="5">
    <fb>85.98</fb>
    <v>10</v>
  </rv>
  <rv s="5">
    <fb>11.1</fb>
    <v>10</v>
  </rv>
  <rv s="5">
    <fb>45740</fb>
    <v>9</v>
  </rv>
  <rv s="5">
    <fb>87.49</fb>
    <v>10</v>
  </rv>
  <rv s="5">
    <fb>11.15</fb>
    <v>10</v>
  </rv>
  <rv s="5">
    <fb>45741</fb>
    <v>9</v>
  </rv>
  <rv s="5">
    <fb>84.76</fb>
    <v>10</v>
  </rv>
  <rv s="5">
    <fb>45742</fb>
    <v>9</v>
  </rv>
  <rv s="5">
    <fb>85.21</fb>
    <v>10</v>
  </rv>
  <rv s="5">
    <fb>45743</fb>
    <v>9</v>
  </rv>
  <rv s="5">
    <fb>85.63</fb>
    <v>10</v>
  </rv>
  <rv s="5">
    <fb>45744</fb>
    <v>9</v>
  </rv>
  <rv s="5">
    <fb>85.15</fb>
    <v>10</v>
  </rv>
  <rv s="5">
    <fb>11.19</fb>
    <v>10</v>
  </rv>
  <rv s="5">
    <fb>45747</fb>
    <v>9</v>
  </rv>
  <rv s="5">
    <fb>87.79</fb>
    <v>10</v>
  </rv>
  <rv s="5">
    <fb>45748</fb>
    <v>9</v>
  </rv>
  <rv s="5">
    <fb>88.83</fb>
    <v>10</v>
  </rv>
  <rv s="5">
    <fb>45749</fb>
    <v>9</v>
  </rv>
  <rv s="5">
    <fb>89.76</fb>
    <v>10</v>
  </rv>
  <rv s="5">
    <fb>11.18</fb>
    <v>10</v>
  </rv>
  <rv s="5">
    <fb>45750</fb>
    <v>9</v>
  </rv>
  <rv s="5">
    <fb>87.26</fb>
    <v>10</v>
  </rv>
  <rv s="5">
    <fb>45751</fb>
    <v>9</v>
  </rv>
  <rv s="5">
    <fb>83.19</fb>
    <v>10</v>
  </rv>
  <rv s="5">
    <fb>45754</fb>
    <v>9</v>
  </rv>
  <rv s="5">
    <fb>83.83</fb>
    <v>10</v>
  </rv>
  <rv s="5">
    <fb>10.71</fb>
    <v>10</v>
  </rv>
  <rv s="5">
    <fb>45755</fb>
    <v>9</v>
  </rv>
  <rv s="5">
    <fb>81.790000000000006</fb>
    <v>10</v>
  </rv>
  <rv s="5">
    <fb>10.59</fb>
    <v>10</v>
  </rv>
  <rv s="5">
    <fb>45756</fb>
    <v>9</v>
  </rv>
  <rv s="5">
    <fb>89.6</fb>
    <v>10</v>
  </rv>
  <rv s="5">
    <fb>10.78</fb>
    <v>10</v>
  </rv>
  <rv s="5">
    <fb>45757</fb>
    <v>9</v>
  </rv>
  <rv s="5">
    <fb>90.61</fb>
    <v>10</v>
  </rv>
  <rv s="5">
    <fb>10.69</fb>
    <v>10</v>
  </rv>
  <rv s="5">
    <fb>45758</fb>
    <v>9</v>
  </rv>
  <rv s="5">
    <fb>92.8</fb>
    <v>10</v>
  </rv>
  <rv s="5">
    <fb>45761</fb>
    <v>9</v>
  </rv>
  <rv s="5">
    <fb>94.73</fb>
    <v>10</v>
  </rv>
  <rv s="5">
    <fb>10.91</fb>
    <v>10</v>
  </rv>
  <rv s="6">
    <v>11</v>
    <v>a25pm7</v>
    <v>Daily</v>
    <v>45580</v>
    <v>45762</v>
    <v>0</v>
    <v>1</v>
    <v>638801856000000000,638803335089568616,0</v>
    <v>0</v>
    <v>a25pm7</v>
    <v>XNAS:WBA</v>
    <v>1</v>
  </rv>
  <rv s="6">
    <v>11</v>
    <v>a25ya2</v>
    <v>Daily</v>
    <v>45580</v>
    <v>45762</v>
    <v>0</v>
    <v>1</v>
    <v>638801856000000000,638803335089930743,0</v>
    <v>0</v>
    <v>a25ya2</v>
    <v>XNYS:WMT</v>
    <v>2</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error">
    <k n="errorType" t="i"/>
    <k n="field" t="s"/>
    <k n="subType" t="i"/>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2">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12">
    <spb s="0">
      <v>0</v>
      <v>Name</v>
      <v>LearnMoreOnLink</v>
    </spb>
    <spb s="1">
      <v>0</v>
      <v>0</v>
      <v>0</v>
    </spb>
    <spb s="2">
      <v>1</v>
      <v>1</v>
      <v>1</v>
    </spb>
    <spb s="3">
      <v>1</v>
      <v>2</v>
      <v>1</v>
      <v>3</v>
      <v>1</v>
      <v>1</v>
      <v>1</v>
      <v>4</v>
      <v>5</v>
      <v>6</v>
      <v>1</v>
      <v>1</v>
      <v>5</v>
      <v>1</v>
      <v>4</v>
      <v>7</v>
      <v>8</v>
      <v>1</v>
      <v>1</v>
      <v>5</v>
    </spb>
    <spb s="4">
      <v>at close</v>
      <v>from previous close</v>
      <v>Source: Nasdaq Last Sale</v>
      <v>from previous close</v>
      <v>GMT</v>
      <v>Real-Time Nasdaq Last Sale</v>
      <v>from close</v>
      <v>from close</v>
    </spb>
    <spb s="0">
      <v>1</v>
      <v>Name</v>
      <v>LearnMoreOnLink</v>
    </spb>
    <spb s="5">
      <v>1</v>
      <v>1</v>
      <v>1</v>
      <v>1</v>
    </spb>
    <spb s="6">
      <v>1</v>
      <v>2</v>
      <v>2</v>
      <v>1</v>
      <v>3</v>
      <v>1</v>
      <v>1</v>
      <v>1</v>
      <v>4</v>
      <v>4</v>
      <v>5</v>
      <v>6</v>
      <v>1</v>
      <v>1</v>
      <v>1</v>
      <v>4</v>
      <v>7</v>
      <v>9</v>
      <v>8</v>
      <v>4</v>
      <v>1</v>
      <v>1</v>
      <v>5</v>
    </spb>
    <spb s="7">
      <v>at close</v>
      <v>from previous close</v>
      <v>from previous close</v>
      <v>Source: Nasdaq Last Sale</v>
      <v>GMT</v>
      <v>Real-Time Nasdaq Last Sale</v>
      <v>from close</v>
      <v>from close</v>
    </spb>
    <spb s="8">
      <v>10</v>
    </spb>
    <spb s="8">
      <v>1</v>
    </spb>
    <spb s="9">
      <v>10</v>
      <v>1</v>
    </spb>
  </spbData>
</supportingPropertyBags>
</file>

<file path=xl/richData/rdsupportingpropertybagstructure.xml><?xml version="1.0" encoding="utf-8"?>
<spbStructures xmlns="http://schemas.microsoft.com/office/spreadsheetml/2017/richdata2" count="10">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2" formatCode="0.00"/>
    </x:dxf>
    <x:dxf>
      <x:numFmt numFmtId="27" formatCode="m/d/yyyy\ h:mm"/>
    </x:dxf>
    <x:dxf>
      <x:numFmt numFmtId="14" formatCode="0.00%"/>
    </x:dxf>
    <x:dxf>
      <x:numFmt numFmtId="3" formatCode="#,##0"/>
    </x:dxf>
    <x:dxf>
      <x:numFmt numFmtId="4" formatCode="#,##0.00"/>
    </x:dxf>
    <x:dxf>
      <x:numFmt numFmtId="1" formatCode="0"/>
    </x:dxf>
    <x:dxf>
      <x:numFmt numFmtId="19" formatCode="m/d/yyyy"/>
    </x:dxf>
  </dxfs>
  <richProperties>
    <rPr n="NumberFormat" t="s"/>
    <rPr n="IsTitleField" t="b"/>
  </richProperties>
  <richStyles>
    <rSty dxfid="0">
      <rpv i="0">_([$$-en-US]* #,##0.00_);_([$$-en-US]* (#,##0.00);_([$$-en-US]* "-"??_);_(@_)</rpv>
    </rSty>
    <rSty dxfid="5">
      <rpv i="0">#,##0.00</rpv>
    </rSty>
    <rSty>
      <rpv i="1">1</rpv>
    </rSty>
    <rSty dxfid="4">
      <rpv i="0">#,##0</rpv>
    </rSty>
    <rSty dxfid="3"/>
    <rSty dxfid="0">
      <rpv i="0">_([$$-en-US]* #,##0_);_([$$-en-US]* (#,##0);_([$$-en-US]* "-"_);_(@_)</rpv>
    </rSty>
    <rSty dxfid="2"/>
    <rSty dxfid="1">
      <rpv i="0">0.00</rpv>
    </rSty>
    <rSty dxfid="6">
      <rpv i="0">0</rpv>
    </rSty>
    <rSty dxfid="7"/>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19D3461-E151-4E1F-A6D6-06EBEF207DC0}" name="TrackData" displayName="TrackData" ref="B2:I29" totalsRowCount="1">
  <autoFilter ref="B2:I28" xr:uid="{C19D3461-E151-4E1F-A6D6-06EBEF207DC0}"/>
  <sortState xmlns:xlrd2="http://schemas.microsoft.com/office/spreadsheetml/2017/richdata2" ref="B3:I28">
    <sortCondition ref="E2:E28"/>
  </sortState>
  <tableColumns count="8">
    <tableColumn id="1" xr3:uid="{3ECD0536-8C96-4CC6-B787-4CE5FD2BE1F3}" name="Purchase Date" totalsRowLabel="Total"/>
    <tableColumn id="2" xr3:uid="{B4163051-C18B-4EE7-A426-C749945D01FC}" name="Company"/>
    <tableColumn id="3" xr3:uid="{F2852B01-737D-4A24-B33E-032BCBDFD0F1}" name="Ticker" dataDxfId="5">
      <calculatedColumnFormula array="1">_FV(TrackData[[#This Row],[Company]],"Ticker symbol",TRUE)</calculatedColumnFormula>
    </tableColumn>
    <tableColumn id="4" xr3:uid="{0A80913D-4C54-4FAE-A2DA-078077004BD6}" name="Transaction Type"/>
    <tableColumn id="5" xr3:uid="{FEEAA4FA-4AB2-4A29-A4D3-FBD07867BD5F}" name="Units" dataDxfId="4"/>
    <tableColumn id="6" xr3:uid="{2158566F-D40B-4C6F-95C8-9F4DF5001686}" name="Price" dataDxfId="3"/>
    <tableColumn id="9" xr3:uid="{8FB61877-7A32-464F-93EE-45CEA2D5B556}" name="Adjusted Units" dataDxfId="2">
      <calculatedColumnFormula>IF(TrackData[[#This Row],[Transaction Type]]="BUY", TrackData[[#This Row],[Units]], -TrackData[[#This Row],[Units]])</calculatedColumnFormula>
    </tableColumn>
    <tableColumn id="7" xr3:uid="{CA0EA299-F097-4142-87C2-AE26B23DF45E}" name="Total Transaction Amount" totalsRowFunction="sum" dataDxfId="1" totalsRowDxfId="0">
      <calculatedColumnFormula>TrackData[[#This Row],[Price]]*TrackData[[#This Row],[Adjusted Units]]</calculatedColumnFormula>
    </tableColumn>
  </tableColumns>
  <tableStyleInfo name="TableStyleMedium3"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A7144-1674-49D8-95E9-BA427FD48677}">
  <sheetPr codeName="Sheet1">
    <tabColor theme="4" tint="-0.249977111117893"/>
  </sheetPr>
  <dimension ref="B2:Z29"/>
  <sheetViews>
    <sheetView workbookViewId="0">
      <selection activeCell="F20" sqref="F20"/>
    </sheetView>
  </sheetViews>
  <sheetFormatPr defaultRowHeight="13.8" x14ac:dyDescent="0.25"/>
  <cols>
    <col min="2" max="2" width="25.796875" customWidth="1"/>
    <col min="3" max="3" width="46" bestFit="1" customWidth="1"/>
    <col min="4" max="4" width="8.296875" customWidth="1"/>
    <col min="5" max="5" width="17.296875" customWidth="1"/>
    <col min="6" max="6" width="9.09765625" style="8" customWidth="1"/>
    <col min="7" max="7" width="9.796875" style="2" customWidth="1"/>
    <col min="8" max="8" width="14.19921875" style="68" bestFit="1" customWidth="1"/>
    <col min="9" max="9" width="23.69921875" customWidth="1"/>
    <col min="21" max="21" width="13.3984375" customWidth="1"/>
    <col min="23" max="23" width="14.296875" customWidth="1"/>
    <col min="24" max="24" width="15.296875" customWidth="1"/>
    <col min="25" max="25" width="20.3984375" customWidth="1"/>
  </cols>
  <sheetData>
    <row r="2" spans="2:26" x14ac:dyDescent="0.25">
      <c r="B2" t="s">
        <v>36</v>
      </c>
      <c r="C2" t="s">
        <v>0</v>
      </c>
      <c r="D2" t="s">
        <v>1</v>
      </c>
      <c r="E2" t="s">
        <v>2</v>
      </c>
      <c r="F2" s="8" t="s">
        <v>3</v>
      </c>
      <c r="G2" s="2" t="s">
        <v>4</v>
      </c>
      <c r="H2" s="68" t="s">
        <v>40</v>
      </c>
      <c r="I2" s="3" t="s">
        <v>5</v>
      </c>
    </row>
    <row r="3" spans="2:26" x14ac:dyDescent="0.25">
      <c r="B3" s="1">
        <v>45550</v>
      </c>
      <c r="C3" t="e" vm="1">
        <v>#VALUE!</v>
      </c>
      <c r="D3" t="str" cm="1">
        <f t="array" aca="1" ref="D3" ca="1">_FV(TrackData[[#This Row],[Company]],"Ticker symbol",TRUE)</f>
        <v>VOO</v>
      </c>
      <c r="E3" t="s">
        <v>6</v>
      </c>
      <c r="F3" s="8">
        <v>0.58399999999999996</v>
      </c>
      <c r="G3" s="2">
        <v>519.79999999999995</v>
      </c>
      <c r="H3" s="68">
        <f>IF(TrackData[[#This Row],[Transaction Type]]="BUY", TrackData[[#This Row],[Units]], -TrackData[[#This Row],[Units]])</f>
        <v>0.58399999999999996</v>
      </c>
      <c r="I3" s="3">
        <f>TrackData[[#This Row],[Price]]*TrackData[[#This Row],[Adjusted Units]]</f>
        <v>303.56319999999994</v>
      </c>
    </row>
    <row r="4" spans="2:26" x14ac:dyDescent="0.25">
      <c r="B4" s="1">
        <v>45718</v>
      </c>
      <c r="C4" t="e" vm="2">
        <v>#VALUE!</v>
      </c>
      <c r="D4" t="str" cm="1">
        <f t="array" aca="1" ref="D4" ca="1">_FV(TrackData[[#This Row],[Company]],"Ticker symbol",TRUE)</f>
        <v>TSM</v>
      </c>
      <c r="E4" t="s">
        <v>6</v>
      </c>
      <c r="F4" s="8">
        <v>1</v>
      </c>
      <c r="G4" s="2">
        <v>180.53</v>
      </c>
      <c r="H4" s="68">
        <f>IF(TrackData[[#This Row],[Transaction Type]]="BUY", TrackData[[#This Row],[Units]], -TrackData[[#This Row],[Units]])</f>
        <v>1</v>
      </c>
      <c r="I4" s="3">
        <f>TrackData[[#This Row],[Price]]*TrackData[[#This Row],[Adjusted Units]]</f>
        <v>180.53</v>
      </c>
    </row>
    <row r="5" spans="2:26" x14ac:dyDescent="0.25">
      <c r="B5" s="1">
        <v>45567</v>
      </c>
      <c r="C5" t="e" vm="1">
        <v>#VALUE!</v>
      </c>
      <c r="D5" t="str" cm="1">
        <f t="array" aca="1" ref="D5" ca="1">_FV(TrackData[[#This Row],[Company]],"Ticker symbol",TRUE)</f>
        <v>VOO</v>
      </c>
      <c r="E5" t="s">
        <v>6</v>
      </c>
      <c r="F5" s="8">
        <v>0.28599999999999998</v>
      </c>
      <c r="G5" s="2">
        <v>524.23</v>
      </c>
      <c r="H5" s="68">
        <f>IF(TrackData[[#This Row],[Transaction Type]]="BUY", TrackData[[#This Row],[Units]], -TrackData[[#This Row],[Units]])</f>
        <v>0.28599999999999998</v>
      </c>
      <c r="I5" s="3">
        <f>TrackData[[#This Row],[Price]]*TrackData[[#This Row],[Adjusted Units]]</f>
        <v>149.92977999999999</v>
      </c>
    </row>
    <row r="6" spans="2:26" x14ac:dyDescent="0.25">
      <c r="B6" s="1">
        <v>45713</v>
      </c>
      <c r="C6" t="e" vm="3">
        <v>#VALUE!</v>
      </c>
      <c r="D6" t="str" cm="1">
        <f t="array" aca="1" ref="D6" ca="1">_FV(TrackData[[#This Row],[Company]],"Ticker symbol",TRUE)</f>
        <v>TGT</v>
      </c>
      <c r="E6" t="s">
        <v>6</v>
      </c>
      <c r="F6" s="8">
        <v>1</v>
      </c>
      <c r="G6" s="2">
        <v>124.24</v>
      </c>
      <c r="H6" s="68">
        <f>IF(TrackData[[#This Row],[Transaction Type]]="BUY", TrackData[[#This Row],[Units]], -TrackData[[#This Row],[Units]])</f>
        <v>1</v>
      </c>
      <c r="I6" s="3">
        <f>TrackData[[#This Row],[Price]]*TrackData[[#This Row],[Adjusted Units]]</f>
        <v>124.24</v>
      </c>
    </row>
    <row r="7" spans="2:26" x14ac:dyDescent="0.25">
      <c r="B7" s="1">
        <v>45684</v>
      </c>
      <c r="C7" t="e" vm="4">
        <v>#VALUE!</v>
      </c>
      <c r="D7" t="str" cm="1">
        <f t="array" aca="1" ref="D7" ca="1">_FV(TrackData[[#This Row],[Company]],"Ticker symbol",TRUE)</f>
        <v>NVDA</v>
      </c>
      <c r="E7" t="s">
        <v>6</v>
      </c>
      <c r="F7" s="8">
        <v>1</v>
      </c>
      <c r="G7" s="2">
        <v>117.77</v>
      </c>
      <c r="H7" s="68">
        <f>IF(TrackData[[#This Row],[Transaction Type]]="BUY", TrackData[[#This Row],[Units]], -TrackData[[#This Row],[Units]])</f>
        <v>1</v>
      </c>
      <c r="I7" s="3">
        <f>TrackData[[#This Row],[Price]]*TrackData[[#This Row],[Adjusted Units]]</f>
        <v>117.77</v>
      </c>
    </row>
    <row r="8" spans="2:26" x14ac:dyDescent="0.25">
      <c r="B8" s="1">
        <v>45682</v>
      </c>
      <c r="C8" t="e" vm="5">
        <v>#VALUE!</v>
      </c>
      <c r="D8" t="str" cm="1">
        <f t="array" aca="1" ref="D8" ca="1">_FV(TrackData[[#This Row],[Company]],"Ticker symbol",TRUE)</f>
        <v>DELL</v>
      </c>
      <c r="E8" t="s">
        <v>6</v>
      </c>
      <c r="F8" s="8">
        <v>1</v>
      </c>
      <c r="G8" s="2">
        <v>113.73</v>
      </c>
      <c r="H8" s="68">
        <f>IF(TrackData[[#This Row],[Transaction Type]]="BUY", TrackData[[#This Row],[Units]], -TrackData[[#This Row],[Units]])</f>
        <v>1</v>
      </c>
      <c r="I8" s="3">
        <f>TrackData[[#This Row],[Price]]*TrackData[[#This Row],[Adjusted Units]]</f>
        <v>113.73</v>
      </c>
    </row>
    <row r="9" spans="2:26" x14ac:dyDescent="0.25">
      <c r="B9" s="1">
        <v>45537</v>
      </c>
      <c r="C9" t="e" vm="1">
        <v>#VALUE!</v>
      </c>
      <c r="D9" t="str" cm="1">
        <f t="array" aca="1" ref="D9" ca="1">_FV(TrackData[[#This Row],[Company]],"Ticker symbol",TRUE)</f>
        <v>VOO</v>
      </c>
      <c r="E9" t="s">
        <v>6</v>
      </c>
      <c r="F9" s="8">
        <v>0.29799999999999999</v>
      </c>
      <c r="G9" s="2">
        <v>505.72</v>
      </c>
      <c r="H9" s="68">
        <f>IF(TrackData[[#This Row],[Transaction Type]]="BUY", TrackData[[#This Row],[Units]], -TrackData[[#This Row],[Units]])</f>
        <v>0.29799999999999999</v>
      </c>
      <c r="I9" s="3">
        <f>TrackData[[#This Row],[Price]]*TrackData[[#This Row],[Adjusted Units]]</f>
        <v>150.70456000000001</v>
      </c>
    </row>
    <row r="10" spans="2:26" x14ac:dyDescent="0.25">
      <c r="B10" s="1">
        <v>45596</v>
      </c>
      <c r="C10" t="e" vm="1">
        <v>#VALUE!</v>
      </c>
      <c r="D10" t="str" cm="1">
        <f t="array" aca="1" ref="D10" ca="1">_FV(TrackData[[#This Row],[Company]],"Ticker symbol",TRUE)</f>
        <v>VOO</v>
      </c>
      <c r="E10" t="s">
        <v>6</v>
      </c>
      <c r="F10" s="8">
        <v>0.189</v>
      </c>
      <c r="G10" s="2">
        <v>528.85</v>
      </c>
      <c r="H10" s="68">
        <f>IF(TrackData[[#This Row],[Transaction Type]]="BUY", TrackData[[#This Row],[Units]], -TrackData[[#This Row],[Units]])</f>
        <v>0.189</v>
      </c>
      <c r="I10" s="3">
        <f>TrackData[[#This Row],[Price]]*TrackData[[#This Row],[Adjusted Units]]</f>
        <v>99.952650000000006</v>
      </c>
      <c r="V10" s="4"/>
      <c r="W10" s="4"/>
      <c r="X10" s="4"/>
      <c r="Y10" s="4"/>
      <c r="Z10" s="4"/>
    </row>
    <row r="11" spans="2:26" x14ac:dyDescent="0.25">
      <c r="B11" s="1">
        <v>45667</v>
      </c>
      <c r="C11" t="e" vm="1">
        <v>#VALUE!</v>
      </c>
      <c r="D11" t="str" cm="1">
        <f t="array" aca="1" ref="D11" ca="1">_FV(TrackData[[#This Row],[Company]],"Ticker symbol",TRUE)</f>
        <v>VOO</v>
      </c>
      <c r="E11" t="s">
        <v>6</v>
      </c>
      <c r="F11" s="8">
        <v>0.187</v>
      </c>
      <c r="G11" s="2">
        <v>532.95000000000005</v>
      </c>
      <c r="H11" s="68">
        <f>IF(TrackData[[#This Row],[Transaction Type]]="BUY", TrackData[[#This Row],[Units]], -TrackData[[#This Row],[Units]])</f>
        <v>0.187</v>
      </c>
      <c r="I11" s="3">
        <f>TrackData[[#This Row],[Price]]*TrackData[[#This Row],[Adjusted Units]]</f>
        <v>99.661650000000009</v>
      </c>
      <c r="V11" s="5"/>
      <c r="W11" s="5"/>
      <c r="X11" s="5"/>
      <c r="Y11" s="6"/>
      <c r="Z11" s="5"/>
    </row>
    <row r="12" spans="2:26" x14ac:dyDescent="0.25">
      <c r="B12" s="1">
        <v>45646</v>
      </c>
      <c r="C12" t="e" vm="1">
        <v>#VALUE!</v>
      </c>
      <c r="D12" t="str" cm="1">
        <f t="array" aca="1" ref="D12" ca="1">_FV(TrackData[[#This Row],[Company]],"Ticker symbol",TRUE)</f>
        <v>VOO</v>
      </c>
      <c r="E12" t="s">
        <v>6</v>
      </c>
      <c r="F12" s="8">
        <v>0.184</v>
      </c>
      <c r="G12" s="2">
        <v>541.4</v>
      </c>
      <c r="H12" s="68">
        <f>IF(TrackData[[#This Row],[Transaction Type]]="BUY", TrackData[[#This Row],[Units]], -TrackData[[#This Row],[Units]])</f>
        <v>0.184</v>
      </c>
      <c r="I12" s="3">
        <f>TrackData[[#This Row],[Price]]*TrackData[[#This Row],[Adjusted Units]]</f>
        <v>99.617599999999996</v>
      </c>
      <c r="V12" s="5"/>
      <c r="W12" s="5"/>
      <c r="X12" s="5"/>
      <c r="Y12" s="6"/>
      <c r="Z12" s="5"/>
    </row>
    <row r="13" spans="2:26" x14ac:dyDescent="0.25">
      <c r="B13" s="1">
        <v>45551</v>
      </c>
      <c r="C13" t="e" vm="1">
        <v>#VALUE!</v>
      </c>
      <c r="D13" t="str" cm="1">
        <f t="array" aca="1" ref="D13" ca="1">_FV(TrackData[[#This Row],[Company]],"Ticker symbol",TRUE)</f>
        <v>VOO</v>
      </c>
      <c r="E13" t="s">
        <v>6</v>
      </c>
      <c r="F13" s="8">
        <v>0.193</v>
      </c>
      <c r="G13" s="2">
        <v>515.94000000000005</v>
      </c>
      <c r="H13" s="68">
        <f>IF(TrackData[[#This Row],[Transaction Type]]="BUY", TrackData[[#This Row],[Units]], -TrackData[[#This Row],[Units]])</f>
        <v>0.193</v>
      </c>
      <c r="I13" s="3">
        <f>TrackData[[#This Row],[Price]]*TrackData[[#This Row],[Adjusted Units]]</f>
        <v>99.576420000000013</v>
      </c>
      <c r="V13" s="5"/>
      <c r="W13" s="5"/>
      <c r="X13" s="5"/>
      <c r="Y13" s="6"/>
      <c r="Z13" s="5"/>
    </row>
    <row r="14" spans="2:26" x14ac:dyDescent="0.25">
      <c r="B14" s="1">
        <v>45682</v>
      </c>
      <c r="C14" t="e" vm="6">
        <v>#VALUE!</v>
      </c>
      <c r="D14" t="str" cm="1">
        <f t="array" aca="1" ref="D14" ca="1">_FV(TrackData[[#This Row],[Company]],"Ticker symbol",TRUE)</f>
        <v>WMT</v>
      </c>
      <c r="E14" t="s">
        <v>6</v>
      </c>
      <c r="F14" s="8">
        <v>1</v>
      </c>
      <c r="G14" s="2">
        <v>94.74</v>
      </c>
      <c r="H14" s="68">
        <f>IF(TrackData[[#This Row],[Transaction Type]]="BUY", TrackData[[#This Row],[Units]], -TrackData[[#This Row],[Units]])</f>
        <v>1</v>
      </c>
      <c r="I14" s="3">
        <f>TrackData[[#This Row],[Price]]*TrackData[[#This Row],[Adjusted Units]]</f>
        <v>94.74</v>
      </c>
      <c r="V14" s="5"/>
      <c r="W14" s="5"/>
      <c r="X14" s="5"/>
      <c r="Y14" s="6"/>
      <c r="Z14" s="5"/>
    </row>
    <row r="15" spans="2:26" x14ac:dyDescent="0.25">
      <c r="B15" s="1">
        <v>45483</v>
      </c>
      <c r="C15" t="e" vm="1">
        <v>#VALUE!</v>
      </c>
      <c r="D15" t="str" cm="1">
        <f t="array" aca="1" ref="D15" ca="1">_FV(TrackData[[#This Row],[Company]],"Ticker symbol",TRUE)</f>
        <v>VOO</v>
      </c>
      <c r="E15" t="s">
        <v>6</v>
      </c>
      <c r="F15" s="8">
        <v>5.8000000000000003E-2</v>
      </c>
      <c r="G15" s="2">
        <v>505.93</v>
      </c>
      <c r="H15" s="68">
        <f>IF(TrackData[[#This Row],[Transaction Type]]="BUY", TrackData[[#This Row],[Units]], -TrackData[[#This Row],[Units]])</f>
        <v>5.8000000000000003E-2</v>
      </c>
      <c r="I15" s="3">
        <f>TrackData[[#This Row],[Price]]*TrackData[[#This Row],[Adjusted Units]]</f>
        <v>29.343940000000003</v>
      </c>
      <c r="V15" s="5"/>
      <c r="W15" s="5"/>
      <c r="X15" s="5"/>
      <c r="Y15" s="6"/>
      <c r="Z15" s="5"/>
    </row>
    <row r="16" spans="2:26" x14ac:dyDescent="0.25">
      <c r="B16" s="1">
        <v>45718</v>
      </c>
      <c r="C16" t="e" vm="7">
        <v>#VALUE!</v>
      </c>
      <c r="D16" t="str" cm="1">
        <f t="array" aca="1" ref="D16" ca="1">_FV(TrackData[[#This Row],[Company]],"Ticker symbol",TRUE)</f>
        <v>WBA</v>
      </c>
      <c r="E16" t="s">
        <v>6</v>
      </c>
      <c r="F16" s="8">
        <v>1</v>
      </c>
      <c r="G16" s="2">
        <v>10.68</v>
      </c>
      <c r="H16" s="68">
        <f>IF(TrackData[[#This Row],[Transaction Type]]="BUY", TrackData[[#This Row],[Units]], -TrackData[[#This Row],[Units]])</f>
        <v>1</v>
      </c>
      <c r="I16" s="3">
        <f>TrackData[[#This Row],[Price]]*TrackData[[#This Row],[Adjusted Units]]</f>
        <v>10.68</v>
      </c>
      <c r="V16" s="5"/>
      <c r="W16" s="5"/>
      <c r="X16" s="5"/>
      <c r="Y16" s="6"/>
    </row>
    <row r="17" spans="2:9" x14ac:dyDescent="0.25">
      <c r="B17" s="1">
        <v>45735</v>
      </c>
      <c r="C17" t="e" vm="1">
        <v>#VALUE!</v>
      </c>
      <c r="D17" t="str" cm="1">
        <f t="array" aca="1" ref="D17" ca="1">_FV(TrackData[[#This Row],[Company]],"Ticker symbol",TRUE)</f>
        <v>VOO</v>
      </c>
      <c r="E17" t="s">
        <v>37</v>
      </c>
      <c r="F17" s="8">
        <v>1</v>
      </c>
      <c r="G17" s="2">
        <v>529</v>
      </c>
      <c r="H17" s="68">
        <f>IF(TrackData[[#This Row],[Transaction Type]]="BUY", TrackData[[#This Row],[Units]], -TrackData[[#This Row],[Units]])</f>
        <v>-1</v>
      </c>
      <c r="I17" s="3">
        <f>TrackData[[#This Row],[Price]]*TrackData[[#This Row],[Adjusted Units]]</f>
        <v>-529</v>
      </c>
    </row>
    <row r="18" spans="2:9" x14ac:dyDescent="0.25">
      <c r="B18" s="1">
        <v>45755</v>
      </c>
      <c r="C18" t="e" vm="8">
        <v>#VALUE!</v>
      </c>
      <c r="D18" t="str" cm="1">
        <f t="array" aca="1" ref="D18" ca="1">_FV(TrackData[[#This Row],[Company]],"Ticker symbol",TRUE)</f>
        <v>GOOGL</v>
      </c>
      <c r="E18" t="s">
        <v>6</v>
      </c>
      <c r="F18" s="8">
        <v>1</v>
      </c>
      <c r="G18" s="2">
        <v>159.22</v>
      </c>
      <c r="H18" s="68">
        <f>IF(TrackData[[#This Row],[Transaction Type]]="BUY", TrackData[[#This Row],[Units]], -TrackData[[#This Row],[Units]])</f>
        <v>1</v>
      </c>
      <c r="I18" s="3">
        <f>TrackData[[#This Row],[Price]]*TrackData[[#This Row],[Adjusted Units]]</f>
        <v>159.22</v>
      </c>
    </row>
    <row r="19" spans="2:9" x14ac:dyDescent="0.25">
      <c r="B19" s="1">
        <v>45727</v>
      </c>
      <c r="C19" t="e" vm="9">
        <v>#VALUE!</v>
      </c>
      <c r="D19" t="str" cm="1">
        <f t="array" aca="1" ref="D19" ca="1">_FV(TrackData[[#This Row],[Company]],"Ticker symbol",TRUE)</f>
        <v>RKLB</v>
      </c>
      <c r="E19" t="s">
        <v>6</v>
      </c>
      <c r="F19" s="8">
        <v>5</v>
      </c>
      <c r="G19" s="2">
        <v>16.5</v>
      </c>
      <c r="H19" s="68">
        <f>IF(TrackData[[#This Row],[Transaction Type]]="BUY", TrackData[[#This Row],[Units]], -TrackData[[#This Row],[Units]])</f>
        <v>5</v>
      </c>
      <c r="I19" s="3">
        <f>TrackData[[#This Row],[Price]]*TrackData[[#This Row],[Adjusted Units]]</f>
        <v>82.5</v>
      </c>
    </row>
    <row r="20" spans="2:9" x14ac:dyDescent="0.25">
      <c r="B20" s="1"/>
      <c r="C20" t="s">
        <v>35</v>
      </c>
      <c r="D20" t="e" cm="1" vm="10">
        <f t="array" ref="D20">_FV(TrackData[[#This Row],[Company]],"Ticker symbol",TRUE)</f>
        <v>#VALUE!</v>
      </c>
      <c r="H20" s="68">
        <f>IF(TrackData[[#This Row],[Transaction Type]]="BUY", TrackData[[#This Row],[Units]], -TrackData[[#This Row],[Units]])</f>
        <v>0</v>
      </c>
      <c r="I20" s="3">
        <f>TrackData[[#This Row],[Price]]*TrackData[[#This Row],[Adjusted Units]]</f>
        <v>0</v>
      </c>
    </row>
    <row r="21" spans="2:9" x14ac:dyDescent="0.25">
      <c r="B21" s="1"/>
      <c r="D21" t="e" cm="1" vm="10">
        <f t="array" ref="D21">_FV(TrackData[[#This Row],[Company]],"Ticker symbol",TRUE)</f>
        <v>#VALUE!</v>
      </c>
      <c r="H21" s="68">
        <f>IF(TrackData[[#This Row],[Transaction Type]]="BUY", TrackData[[#This Row],[Units]], -TrackData[[#This Row],[Units]])</f>
        <v>0</v>
      </c>
      <c r="I21" s="3">
        <f>TrackData[[#This Row],[Price]]*TrackData[[#This Row],[Adjusted Units]]</f>
        <v>0</v>
      </c>
    </row>
    <row r="22" spans="2:9" x14ac:dyDescent="0.25">
      <c r="B22" s="1"/>
      <c r="D22" t="e" cm="1" vm="10">
        <f t="array" ref="D22">_FV(TrackData[[#This Row],[Company]],"Ticker symbol",TRUE)</f>
        <v>#VALUE!</v>
      </c>
      <c r="H22" s="68">
        <f>IF(TrackData[[#This Row],[Transaction Type]]="BUY", TrackData[[#This Row],[Units]], -TrackData[[#This Row],[Units]])</f>
        <v>0</v>
      </c>
      <c r="I22" s="3">
        <f>TrackData[[#This Row],[Price]]*TrackData[[#This Row],[Adjusted Units]]</f>
        <v>0</v>
      </c>
    </row>
    <row r="23" spans="2:9" x14ac:dyDescent="0.25">
      <c r="B23" s="1"/>
      <c r="D23" t="e" cm="1" vm="10">
        <f t="array" ref="D23">_FV(TrackData[[#This Row],[Company]],"Ticker symbol",TRUE)</f>
        <v>#VALUE!</v>
      </c>
      <c r="H23" s="68">
        <f>IF(TrackData[[#This Row],[Transaction Type]]="BUY", TrackData[[#This Row],[Units]], -TrackData[[#This Row],[Units]])</f>
        <v>0</v>
      </c>
      <c r="I23" s="3">
        <f>TrackData[[#This Row],[Price]]*TrackData[[#This Row],[Adjusted Units]]</f>
        <v>0</v>
      </c>
    </row>
    <row r="24" spans="2:9" x14ac:dyDescent="0.25">
      <c r="B24" s="1"/>
      <c r="D24" t="e" cm="1" vm="10">
        <f t="array" ref="D24">_FV(TrackData[[#This Row],[Company]],"Ticker symbol",TRUE)</f>
        <v>#VALUE!</v>
      </c>
      <c r="H24" s="68">
        <f>IF(TrackData[[#This Row],[Transaction Type]]="BUY", TrackData[[#This Row],[Units]], -TrackData[[#This Row],[Units]])</f>
        <v>0</v>
      </c>
      <c r="I24" s="3">
        <f>TrackData[[#This Row],[Price]]*TrackData[[#This Row],[Adjusted Units]]</f>
        <v>0</v>
      </c>
    </row>
    <row r="25" spans="2:9" x14ac:dyDescent="0.25">
      <c r="B25" s="1"/>
      <c r="D25" t="e" cm="1" vm="10">
        <f t="array" ref="D25">_FV(TrackData[[#This Row],[Company]],"Ticker symbol",TRUE)</f>
        <v>#VALUE!</v>
      </c>
      <c r="H25" s="68">
        <f>IF(TrackData[[#This Row],[Transaction Type]]="BUY", TrackData[[#This Row],[Units]], -TrackData[[#This Row],[Units]])</f>
        <v>0</v>
      </c>
      <c r="I25" s="3">
        <f>TrackData[[#This Row],[Price]]*TrackData[[#This Row],[Adjusted Units]]</f>
        <v>0</v>
      </c>
    </row>
    <row r="26" spans="2:9" x14ac:dyDescent="0.25">
      <c r="B26" s="1"/>
      <c r="D26" t="e" cm="1" vm="10">
        <f t="array" ref="D26">_FV(TrackData[[#This Row],[Company]],"Ticker symbol",TRUE)</f>
        <v>#VALUE!</v>
      </c>
      <c r="H26" s="68">
        <f>IF(TrackData[[#This Row],[Transaction Type]]="BUY", TrackData[[#This Row],[Units]], -TrackData[[#This Row],[Units]])</f>
        <v>0</v>
      </c>
      <c r="I26" s="3">
        <f>TrackData[[#This Row],[Price]]*TrackData[[#This Row],[Adjusted Units]]</f>
        <v>0</v>
      </c>
    </row>
    <row r="27" spans="2:9" x14ac:dyDescent="0.25">
      <c r="B27" s="1"/>
      <c r="D27" t="e" cm="1" vm="10">
        <f t="array" ref="D27">_FV(TrackData[[#This Row],[Company]],"Ticker symbol",TRUE)</f>
        <v>#VALUE!</v>
      </c>
      <c r="H27" s="68">
        <f>IF(TrackData[[#This Row],[Transaction Type]]="BUY", TrackData[[#This Row],[Units]], -TrackData[[#This Row],[Units]])</f>
        <v>0</v>
      </c>
      <c r="I27" s="3">
        <f>TrackData[[#This Row],[Price]]*TrackData[[#This Row],[Adjusted Units]]</f>
        <v>0</v>
      </c>
    </row>
    <row r="28" spans="2:9" x14ac:dyDescent="0.25">
      <c r="B28" s="1"/>
      <c r="D28" t="e" cm="1" vm="10">
        <f t="array" ref="D28">_FV(TrackData[[#This Row],[Company]],"Ticker symbol",TRUE)</f>
        <v>#VALUE!</v>
      </c>
      <c r="H28" s="68">
        <f>IF(TrackData[[#This Row],[Transaction Type]]="BUY", TrackData[[#This Row],[Units]], -TrackData[[#This Row],[Units]])</f>
        <v>0</v>
      </c>
      <c r="I28" s="3">
        <f>TrackData[[#This Row],[Price]]*TrackData[[#This Row],[Adjusted Units]]</f>
        <v>0</v>
      </c>
    </row>
    <row r="29" spans="2:9" x14ac:dyDescent="0.25">
      <c r="B29" t="s">
        <v>39</v>
      </c>
      <c r="F29"/>
      <c r="G29"/>
      <c r="H29"/>
      <c r="I29" s="3">
        <f>SUBTOTAL(109,TrackData[Total Transaction Amount])</f>
        <v>1386.7598000000003</v>
      </c>
    </row>
  </sheetData>
  <dataValidations count="1">
    <dataValidation type="list" allowBlank="1" showInputMessage="1" showErrorMessage="1" sqref="E3:E28" xr:uid="{5BE9AAE1-4F43-4A51-8354-F85C7429C4B2}">
      <formula1>"BUY,SELL"</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1959E-3E54-46FE-A093-36AF3F224E55}">
  <sheetPr codeName="Sheet2">
    <tabColor theme="4" tint="-0.249977111117893"/>
  </sheetPr>
  <dimension ref="A1:O36"/>
  <sheetViews>
    <sheetView tabSelected="1" zoomScale="85" zoomScaleNormal="85" workbookViewId="0">
      <selection activeCell="P10" sqref="P10"/>
    </sheetView>
  </sheetViews>
  <sheetFormatPr defaultRowHeight="13.8" x14ac:dyDescent="0.25"/>
  <cols>
    <col min="1" max="1" width="6.296875" customWidth="1"/>
    <col min="2" max="2" width="34" customWidth="1"/>
    <col min="3" max="3" width="5.796875" customWidth="1"/>
    <col min="4" max="4" width="37.796875" customWidth="1"/>
    <col min="5" max="5" width="8.59765625" customWidth="1"/>
    <col min="6" max="6" width="12.296875" style="2" customWidth="1"/>
    <col min="7" max="7" width="11.8984375" style="2" customWidth="1"/>
    <col min="8" max="8" width="12.296875" style="7" bestFit="1" customWidth="1"/>
    <col min="9" max="9" width="11.59765625" style="9" customWidth="1"/>
    <col min="10" max="10" width="9.5" style="2" bestFit="1" customWidth="1"/>
    <col min="11" max="11" width="12" style="2" customWidth="1"/>
    <col min="12" max="12" width="11.5" style="2" customWidth="1"/>
    <col min="13" max="13" width="15.59765625" customWidth="1"/>
    <col min="14" max="14" width="19.5" customWidth="1"/>
    <col min="15" max="15" width="12.796875" bestFit="1" customWidth="1"/>
    <col min="16" max="16" width="14.3984375" customWidth="1"/>
    <col min="20" max="20" width="3.796875" customWidth="1"/>
    <col min="21" max="21" width="13.796875" customWidth="1"/>
    <col min="22" max="22" width="10.59765625" customWidth="1"/>
  </cols>
  <sheetData>
    <row r="1" spans="1:15" ht="14.4" customHeight="1" x14ac:dyDescent="0.25">
      <c r="A1" s="34"/>
      <c r="B1" s="35"/>
      <c r="C1" s="35"/>
      <c r="D1" s="35"/>
      <c r="E1" s="35"/>
      <c r="F1" s="35"/>
      <c r="G1" s="35"/>
      <c r="H1" s="35"/>
      <c r="I1" s="36"/>
      <c r="J1" s="69"/>
      <c r="K1" s="35"/>
      <c r="L1" s="35"/>
      <c r="M1" s="35"/>
      <c r="N1" s="35"/>
      <c r="O1" s="37"/>
    </row>
    <row r="2" spans="1:15" ht="22.2" customHeight="1" x14ac:dyDescent="0.25">
      <c r="A2" s="38"/>
      <c r="B2" s="72" t="s">
        <v>33</v>
      </c>
      <c r="C2" s="72"/>
      <c r="D2" s="73"/>
      <c r="E2" s="23" t="s">
        <v>7</v>
      </c>
      <c r="F2" s="24"/>
      <c r="G2" s="39"/>
      <c r="H2" s="23" t="s">
        <v>8</v>
      </c>
      <c r="I2" s="25"/>
      <c r="J2" s="70"/>
      <c r="K2" s="23" t="s">
        <v>9</v>
      </c>
      <c r="L2" s="24"/>
      <c r="M2" s="39"/>
      <c r="N2" s="39"/>
      <c r="O2" s="40"/>
    </row>
    <row r="3" spans="1:15" ht="20.399999999999999" x14ac:dyDescent="0.25">
      <c r="A3" s="38"/>
      <c r="B3" s="72"/>
      <c r="C3" s="72"/>
      <c r="D3" s="73"/>
      <c r="E3" s="26">
        <f ca="1">SUM(G:G)</f>
        <v>1297.5307499999997</v>
      </c>
      <c r="F3" s="27"/>
      <c r="G3" s="39"/>
      <c r="H3" s="28">
        <f ca="1">SUM(I:I)</f>
        <v>5.7058299999999837</v>
      </c>
      <c r="I3" s="29"/>
      <c r="J3" s="70"/>
      <c r="K3" s="28">
        <f ca="1">SUM(J:J)</f>
        <v>-89.229049999999916</v>
      </c>
      <c r="L3" s="30"/>
      <c r="M3" s="39"/>
      <c r="N3" s="39"/>
      <c r="O3" s="40"/>
    </row>
    <row r="4" spans="1:15" ht="20.399999999999999" x14ac:dyDescent="0.25">
      <c r="A4" s="38"/>
      <c r="B4" s="39"/>
      <c r="C4" s="39"/>
      <c r="D4" s="39"/>
      <c r="E4" s="41"/>
      <c r="F4" s="41"/>
      <c r="G4" s="39"/>
      <c r="H4" s="42"/>
      <c r="I4" s="43"/>
      <c r="J4" s="70"/>
      <c r="K4" s="39"/>
      <c r="L4" s="39"/>
      <c r="M4" s="39"/>
      <c r="N4" s="39"/>
      <c r="O4" s="40"/>
    </row>
    <row r="5" spans="1:15" x14ac:dyDescent="0.25">
      <c r="A5" s="44"/>
      <c r="O5" s="45"/>
    </row>
    <row r="6" spans="1:15" ht="15.6" x14ac:dyDescent="0.3">
      <c r="A6" s="44"/>
      <c r="B6" s="46" t="s">
        <v>10</v>
      </c>
      <c r="C6" s="46"/>
      <c r="D6" s="46"/>
      <c r="E6" s="46"/>
      <c r="F6" s="46"/>
      <c r="G6" s="46"/>
      <c r="H6" s="46"/>
      <c r="I6" s="46"/>
      <c r="J6" s="71"/>
      <c r="K6" s="46"/>
      <c r="L6" s="46"/>
      <c r="M6" s="46"/>
      <c r="N6" s="46"/>
      <c r="O6" s="46"/>
    </row>
    <row r="7" spans="1:15" x14ac:dyDescent="0.25">
      <c r="A7" s="44"/>
      <c r="B7" s="47" t="s">
        <v>0</v>
      </c>
      <c r="C7" s="47" t="s">
        <v>1</v>
      </c>
      <c r="D7" s="47" t="s">
        <v>11</v>
      </c>
      <c r="E7" s="47" t="s">
        <v>12</v>
      </c>
      <c r="F7" s="48" t="s">
        <v>13</v>
      </c>
      <c r="G7" s="48" t="s">
        <v>14</v>
      </c>
      <c r="H7" s="49" t="s">
        <v>15</v>
      </c>
      <c r="I7" s="50" t="s">
        <v>16</v>
      </c>
      <c r="J7" s="48" t="s">
        <v>17</v>
      </c>
      <c r="K7" s="48" t="s">
        <v>18</v>
      </c>
      <c r="L7" s="48" t="s">
        <v>19</v>
      </c>
      <c r="M7" s="51" t="s">
        <v>20</v>
      </c>
      <c r="N7" s="51" t="s">
        <v>34</v>
      </c>
      <c r="O7" s="51" t="s">
        <v>38</v>
      </c>
    </row>
    <row r="8" spans="1:15" x14ac:dyDescent="0.25">
      <c r="A8" s="44"/>
      <c r="B8" t="e" cm="1" vm="1">
        <f t="array" ref="B8:B16">_xlfn.UNIQUE(_xlfn._xlws.FILTER(TrackData[Company],SUMIFS(TrackData[Units],TrackData[Company],TrackData[Company])&gt;0))</f>
        <v>#VALUE!</v>
      </c>
      <c r="C8" t="str" cm="1">
        <f t="array" aca="1" ref="C8:C16" ca="1">_FV(_xlfn.ANCHORARRAY(B8),"Ticker symbol",TRUE)</f>
        <v>VOO</v>
      </c>
      <c r="D8" t="str" cm="1">
        <f t="array" aca="1" ref="D8:D16" ca="1">IFERROR(_FV(_xlfn.ANCHORARRAY(B8),"Industry"),"-")</f>
        <v>-</v>
      </c>
      <c r="E8" cm="1">
        <f t="array" ref="E8:E16">(SUMIFS(TrackData[Adjusted Units],TrackData[Company],_xlfn.ANCHORARRAY(B8)))</f>
        <v>0.97900000000000009</v>
      </c>
      <c r="F8" s="2" cm="1">
        <f t="array" aca="1" ref="F8:F16" ca="1">_FV(_xlfn.ANCHORARRAY(B8),"Price")</f>
        <v>494.25</v>
      </c>
      <c r="G8" s="2" cm="1">
        <f t="array" aca="1" ref="G8:G16" ca="1">_xlfn.ANCHORARRAY(F8)*_xlfn.ANCHORARRAY(E8)</f>
        <v>483.87075000000004</v>
      </c>
      <c r="H8" s="7" cm="1">
        <f t="array" aca="1" ref="H8:H16" ca="1">_xlfn.ANCHORARRAY(G8)/SUM(_xlfn.ANCHORARRAY(G8))</f>
        <v>0.37291659561825424</v>
      </c>
      <c r="I8" s="2" cm="1">
        <f t="array" aca="1" ref="I8:I16" ca="1">(_xlfn.ANCHORARRAY(F8)-_FV(_xlfn.ANCHORARRAY(B8),"Previous close",TRUE))*_xlfn.ANCHORARRAY(E8)</f>
        <v>-1.2041700000000179</v>
      </c>
      <c r="J8" s="2" cm="1">
        <f t="array" aca="1" ref="J8:J16" ca="1">_xlfn.ANCHORARRAY(G8)-SUMIFS(TrackData[Total Transaction Amount],TrackData[Company],_xlfn.ANCHORARRAY(B8))</f>
        <v>-19.479049999999916</v>
      </c>
      <c r="K8" s="2" cm="1">
        <f t="array" aca="1" ref="K8:K16" ca="1">_FV(_xlfn.ANCHORARRAY(B8),"52 week high",TRUE)</f>
        <v>563.91999999999996</v>
      </c>
      <c r="L8" s="2" cm="1">
        <f t="array" aca="1" ref="L8:L16" ca="1">_FV(_xlfn.ANCHORARRAY(B8),"52 week low",TRUE)</f>
        <v>442.8</v>
      </c>
      <c r="M8" s="52" t="str" cm="1">
        <f t="array" ref="M8">IFERROR(_FV(B8,"P/E",TRUE),"-")</f>
        <v>-</v>
      </c>
      <c r="N8" s="53" cm="1">
        <f t="array" aca="1" ref="N8" ca="1">IFERROR(_FV(B8,"Market cap",TRUE)/1000000000,"-")</f>
        <v>590.82776340800001</v>
      </c>
      <c r="O8" s="67" t="str">
        <f ca="1">HYPERLINK("https://finance.yahoo.com/quote/" &amp; C8, "View Stock")</f>
        <v>View Stock</v>
      </c>
    </row>
    <row r="9" spans="1:15" x14ac:dyDescent="0.25">
      <c r="A9" s="44"/>
      <c r="B9" t="e" vm="2">
        <v>#VALUE!</v>
      </c>
      <c r="C9" t="str">
        <f ca="1"/>
        <v>TSM</v>
      </c>
      <c r="D9" t="str">
        <f ca="1"/>
        <v>Semiconductors &amp; Semiconductor Equipment</v>
      </c>
      <c r="E9">
        <v>1</v>
      </c>
      <c r="F9" s="2">
        <f ca="1"/>
        <v>157.32</v>
      </c>
      <c r="G9" s="2">
        <f ca="1"/>
        <v>157.32</v>
      </c>
      <c r="H9" s="7">
        <f ca="1"/>
        <v>0.12124568146072841</v>
      </c>
      <c r="I9" s="2">
        <f ca="1"/>
        <v>1.4799999999999898</v>
      </c>
      <c r="J9" s="2">
        <f ca="1"/>
        <v>-23.210000000000008</v>
      </c>
      <c r="K9" s="2">
        <f ca="1"/>
        <v>226.4</v>
      </c>
      <c r="L9" s="2">
        <f ca="1"/>
        <v>125.78</v>
      </c>
      <c r="M9" s="52" cm="1">
        <f t="array" aca="1" ref="M9" ca="1">IFERROR(_FV(B9,"P/E",TRUE),"-")</f>
        <v>22.7974</v>
      </c>
      <c r="N9" s="53" cm="1">
        <f t="array" aca="1" ref="N9" ca="1">IFERROR(_FV(B9,"Market cap",TRUE)/1000000000,"-")</f>
        <v>693.15290000000005</v>
      </c>
      <c r="O9" s="67" t="str">
        <f t="shared" ref="O9:O16" ca="1" si="0">HYPERLINK("https://finance.yahoo.com/quote/" &amp; C9, "View Stock")</f>
        <v>View Stock</v>
      </c>
    </row>
    <row r="10" spans="1:15" x14ac:dyDescent="0.25">
      <c r="A10" s="44"/>
      <c r="B10" t="e" vm="3">
        <v>#VALUE!</v>
      </c>
      <c r="C10" t="str">
        <f ca="1"/>
        <v>TGT</v>
      </c>
      <c r="D10" t="str">
        <f ca="1"/>
        <v>Diversified Retail</v>
      </c>
      <c r="E10">
        <v>1</v>
      </c>
      <c r="F10" s="2">
        <f ca="1"/>
        <v>92.1</v>
      </c>
      <c r="G10" s="2">
        <f ca="1"/>
        <v>92.1</v>
      </c>
      <c r="H10" s="7">
        <f ca="1"/>
        <v>7.098097675141804E-2</v>
      </c>
      <c r="I10" s="2">
        <f ca="1"/>
        <v>-2.5500000000000114</v>
      </c>
      <c r="J10" s="2">
        <f ca="1"/>
        <v>-32.14</v>
      </c>
      <c r="K10" s="2">
        <f ca="1"/>
        <v>169.8</v>
      </c>
      <c r="L10" s="2">
        <f ca="1"/>
        <v>87.35</v>
      </c>
      <c r="M10" s="52" cm="1">
        <f t="array" aca="1" ref="M10" ca="1">IFERROR(_FV(B10,"P/E",TRUE),"-")</f>
        <v>10.3964</v>
      </c>
      <c r="N10" s="53" cm="1">
        <f t="array" aca="1" ref="N10" ca="1">IFERROR(_FV(B10,"Market cap",TRUE)/1000000000,"-")</f>
        <v>41.958586439999998</v>
      </c>
      <c r="O10" s="67" t="str">
        <f t="shared" ca="1" si="0"/>
        <v>View Stock</v>
      </c>
    </row>
    <row r="11" spans="1:15" x14ac:dyDescent="0.25">
      <c r="A11" s="44"/>
      <c r="B11" t="e" vm="4">
        <v>#VALUE!</v>
      </c>
      <c r="C11" t="str">
        <f ca="1"/>
        <v>NVDA</v>
      </c>
      <c r="D11" t="str">
        <f ca="1"/>
        <v>Semiconductors &amp; Semiconductor Equipment</v>
      </c>
      <c r="E11">
        <v>1</v>
      </c>
      <c r="F11" s="2">
        <f ca="1"/>
        <v>112.2</v>
      </c>
      <c r="G11" s="2">
        <f ca="1"/>
        <v>112.2</v>
      </c>
      <c r="H11" s="7">
        <f ca="1"/>
        <v>8.6471939104333387E-2</v>
      </c>
      <c r="I11" s="2">
        <f ca="1"/>
        <v>1.4900000000000091</v>
      </c>
      <c r="J11" s="2">
        <f ca="1"/>
        <v>-5.5699999999999932</v>
      </c>
      <c r="K11" s="2">
        <f ca="1"/>
        <v>153.13</v>
      </c>
      <c r="L11" s="2">
        <f ca="1"/>
        <v>75.605999999999995</v>
      </c>
      <c r="M11" s="52" cm="1">
        <f t="array" aca="1" ref="M11" ca="1">IFERROR(_FV(B11,"P/E",TRUE),"-")</f>
        <v>38.278599999999997</v>
      </c>
      <c r="N11" s="53" cm="1">
        <f t="array" aca="1" ref="N11" ca="1">IFERROR(_FV(B11,"Market cap",TRUE)/1000000000,"-")</f>
        <v>2737.68</v>
      </c>
      <c r="O11" s="67" t="str">
        <f t="shared" ca="1" si="0"/>
        <v>View Stock</v>
      </c>
    </row>
    <row r="12" spans="1:15" x14ac:dyDescent="0.25">
      <c r="A12" s="44"/>
      <c r="B12" t="e" vm="5">
        <v>#VALUE!</v>
      </c>
      <c r="C12" t="str">
        <f ca="1"/>
        <v>DELL</v>
      </c>
      <c r="D12" t="str">
        <f ca="1"/>
        <v>Computers, Phones &amp; Household Electronics</v>
      </c>
      <c r="E12">
        <v>1</v>
      </c>
      <c r="F12" s="2">
        <f ca="1"/>
        <v>85.54</v>
      </c>
      <c r="G12" s="2">
        <f ca="1"/>
        <v>85.54</v>
      </c>
      <c r="H12" s="7">
        <f ca="1"/>
        <v>6.5925219883998923E-2</v>
      </c>
      <c r="I12" s="2">
        <f ca="1"/>
        <v>0.35000000000000853</v>
      </c>
      <c r="J12" s="2">
        <f ca="1"/>
        <v>-28.189999999999998</v>
      </c>
      <c r="K12" s="2">
        <f ca="1"/>
        <v>179.7</v>
      </c>
      <c r="L12" s="2">
        <f ca="1"/>
        <v>66.245000000000005</v>
      </c>
      <c r="M12" s="52" cm="1">
        <f t="array" aca="1" ref="M12" ca="1">IFERROR(_FV(B12,"P/E",TRUE),"-")</f>
        <v>13.407500000000001</v>
      </c>
      <c r="N12" s="53" cm="1">
        <f t="array" aca="1" ref="N12" ca="1">IFERROR(_FV(B12,"Market cap",TRUE)/1000000000,"-")</f>
        <v>59.693302031999998</v>
      </c>
      <c r="O12" s="67" t="str">
        <f t="shared" ca="1" si="0"/>
        <v>View Stock</v>
      </c>
    </row>
    <row r="13" spans="1:15" x14ac:dyDescent="0.25">
      <c r="A13" s="44"/>
      <c r="B13" t="e" vm="6">
        <v>#VALUE!</v>
      </c>
      <c r="C13" t="str">
        <f ca="1"/>
        <v>WMT</v>
      </c>
      <c r="D13" t="str">
        <f ca="1"/>
        <v>Food &amp; Drug Retailing</v>
      </c>
      <c r="E13">
        <v>1</v>
      </c>
      <c r="F13" s="2">
        <f ca="1"/>
        <v>93.99</v>
      </c>
      <c r="G13" s="2">
        <f ca="1"/>
        <v>93.99</v>
      </c>
      <c r="H13" s="7">
        <f ca="1"/>
        <v>7.243758962937874E-2</v>
      </c>
      <c r="I13" s="2">
        <f ca="1"/>
        <v>-0.74000000000000909</v>
      </c>
      <c r="J13" s="2">
        <f ca="1"/>
        <v>-0.75</v>
      </c>
      <c r="K13" s="2">
        <f ca="1"/>
        <v>105.3</v>
      </c>
      <c r="L13" s="2">
        <f ca="1"/>
        <v>58.555</v>
      </c>
      <c r="M13" s="52" cm="1">
        <f t="array" aca="1" ref="M13" ca="1">IFERROR(_FV(B13,"P/E",TRUE),"-")</f>
        <v>39.079500000000003</v>
      </c>
      <c r="N13" s="53" cm="1">
        <f t="array" aca="1" ref="N13" ca="1">IFERROR(_FV(B13,"Market cap",TRUE)/1000000000,"-")</f>
        <v>753.50373149999996</v>
      </c>
      <c r="O13" s="67" t="str">
        <f t="shared" ca="1" si="0"/>
        <v>View Stock</v>
      </c>
    </row>
    <row r="14" spans="1:15" x14ac:dyDescent="0.25">
      <c r="A14" s="44"/>
      <c r="B14" t="e" vm="7">
        <v>#VALUE!</v>
      </c>
      <c r="C14" t="str">
        <f ca="1"/>
        <v>WBA</v>
      </c>
      <c r="D14" t="str">
        <f ca="1"/>
        <v>Food &amp; Drug Retailing</v>
      </c>
      <c r="E14">
        <v>1</v>
      </c>
      <c r="F14" s="2">
        <f ca="1"/>
        <v>10.85</v>
      </c>
      <c r="G14" s="2">
        <f ca="1"/>
        <v>10.85</v>
      </c>
      <c r="H14" s="7">
        <f ca="1"/>
        <v>8.3620368919965892E-3</v>
      </c>
      <c r="I14" s="2">
        <f ca="1"/>
        <v>-6.0000000000000497E-2</v>
      </c>
      <c r="J14" s="2">
        <f ca="1"/>
        <v>0.16999999999999993</v>
      </c>
      <c r="K14" s="2">
        <f ca="1"/>
        <v>18.829999999999998</v>
      </c>
      <c r="L14" s="2">
        <f ca="1"/>
        <v>8.08</v>
      </c>
      <c r="M14" s="52" cm="1">
        <f t="array" aca="1" ref="M14" ca="1">IFERROR(_FV(B14,"P/E",TRUE),"-")</f>
        <v>0</v>
      </c>
      <c r="N14" s="53" cm="1">
        <f t="array" aca="1" ref="N14" ca="1">IFERROR(_FV(B14,"Market cap",TRUE)/1000000000,"-")</f>
        <v>9.3824062149999996</v>
      </c>
      <c r="O14" s="67" t="str">
        <f t="shared" ca="1" si="0"/>
        <v>View Stock</v>
      </c>
    </row>
    <row r="15" spans="1:15" x14ac:dyDescent="0.25">
      <c r="A15" s="44"/>
      <c r="B15" t="e" vm="8">
        <v>#VALUE!</v>
      </c>
      <c r="C15" t="str">
        <f ca="1"/>
        <v>GOOGL</v>
      </c>
      <c r="D15" t="str">
        <f ca="1"/>
        <v>Software &amp; IT Services</v>
      </c>
      <c r="E15">
        <v>1</v>
      </c>
      <c r="F15" s="2">
        <f ca="1"/>
        <v>156.31</v>
      </c>
      <c r="G15" s="2">
        <f ca="1"/>
        <v>156.31</v>
      </c>
      <c r="H15" s="7">
        <f ca="1"/>
        <v>0.12046727986986054</v>
      </c>
      <c r="I15" s="2">
        <f ca="1"/>
        <v>-2.7599999999999909</v>
      </c>
      <c r="J15" s="2">
        <f ca="1"/>
        <v>-2.9099999999999966</v>
      </c>
      <c r="K15" s="2">
        <f ca="1"/>
        <v>207.05</v>
      </c>
      <c r="L15" s="2">
        <f ca="1"/>
        <v>140.53</v>
      </c>
      <c r="M15" s="52" cm="1">
        <f t="array" aca="1" ref="M15" ca="1">IFERROR(_FV(B15,"P/E",TRUE),"-")</f>
        <v>19.415199999999999</v>
      </c>
      <c r="N15" s="53" cm="1">
        <f t="array" aca="1" ref="N15" ca="1">IFERROR(_FV(B15,"Market cap",TRUE)/1000000000,"-")</f>
        <v>1955.163</v>
      </c>
      <c r="O15" s="67" t="str">
        <f t="shared" ca="1" si="0"/>
        <v>View Stock</v>
      </c>
    </row>
    <row r="16" spans="1:15" x14ac:dyDescent="0.25">
      <c r="A16" s="44"/>
      <c r="B16" t="e" vm="9">
        <v>#VALUE!</v>
      </c>
      <c r="C16" t="str">
        <f ca="1"/>
        <v>RKLB</v>
      </c>
      <c r="D16" t="str">
        <f ca="1"/>
        <v>Aerospace &amp; Defense</v>
      </c>
      <c r="E16">
        <v>5</v>
      </c>
      <c r="F16" s="2">
        <f ca="1"/>
        <v>21.07</v>
      </c>
      <c r="G16" s="2">
        <f ca="1"/>
        <v>105.35</v>
      </c>
      <c r="H16" s="7">
        <f ca="1"/>
        <v>8.1192680790031391E-2</v>
      </c>
      <c r="I16" s="2">
        <f ca="1"/>
        <v>9.7000000000000064</v>
      </c>
      <c r="J16" s="2">
        <f ca="1"/>
        <v>22.849999999999994</v>
      </c>
      <c r="K16" s="2">
        <f ca="1"/>
        <v>33.340000000000003</v>
      </c>
      <c r="L16" s="2">
        <f ca="1"/>
        <v>3.47</v>
      </c>
      <c r="M16" s="52" cm="1">
        <f t="array" aca="1" ref="M16" ca="1">IFERROR(_FV(B16,"P/E",TRUE),"-")</f>
        <v>0</v>
      </c>
      <c r="N16" s="53" cm="1">
        <f t="array" aca="1" ref="N16" ca="1">IFERROR(_FV(B16,"Market cap",TRUE)/1000000000,"-")</f>
        <v>9.5561952570000006</v>
      </c>
      <c r="O16" s="67" t="str">
        <f t="shared" ca="1" si="0"/>
        <v>View Stock</v>
      </c>
    </row>
    <row r="17" spans="1:15" x14ac:dyDescent="0.25">
      <c r="A17" s="44"/>
      <c r="B17" s="19" t="s">
        <v>21</v>
      </c>
      <c r="C17" s="54"/>
      <c r="D17" s="54"/>
      <c r="F17" s="55" t="s">
        <v>22</v>
      </c>
      <c r="G17" s="55"/>
      <c r="H17" s="56"/>
      <c r="I17" s="57"/>
      <c r="K17" s="55" t="s">
        <v>34</v>
      </c>
      <c r="L17" s="55"/>
      <c r="M17" s="55"/>
      <c r="N17" s="55"/>
      <c r="O17" s="55"/>
    </row>
    <row r="18" spans="1:15" x14ac:dyDescent="0.25">
      <c r="A18" s="44"/>
      <c r="H18"/>
      <c r="I18"/>
      <c r="O18" s="45"/>
    </row>
    <row r="19" spans="1:15" x14ac:dyDescent="0.25">
      <c r="A19" s="44"/>
      <c r="H19"/>
      <c r="I19"/>
      <c r="O19" s="45"/>
    </row>
    <row r="20" spans="1:15" x14ac:dyDescent="0.25">
      <c r="A20" s="44"/>
      <c r="H20"/>
      <c r="I20"/>
      <c r="O20" s="45"/>
    </row>
    <row r="21" spans="1:15" x14ac:dyDescent="0.25">
      <c r="A21" s="44"/>
      <c r="H21"/>
      <c r="I21"/>
      <c r="O21" s="45"/>
    </row>
    <row r="22" spans="1:15" x14ac:dyDescent="0.25">
      <c r="A22" s="44"/>
      <c r="H22"/>
      <c r="I22"/>
      <c r="O22" s="45"/>
    </row>
    <row r="23" spans="1:15" x14ac:dyDescent="0.25">
      <c r="A23" s="44"/>
      <c r="H23"/>
      <c r="I23"/>
      <c r="O23" s="45"/>
    </row>
    <row r="24" spans="1:15" x14ac:dyDescent="0.25">
      <c r="A24" s="44"/>
      <c r="H24"/>
      <c r="I24"/>
      <c r="O24" s="45"/>
    </row>
    <row r="25" spans="1:15" x14ac:dyDescent="0.25">
      <c r="A25" s="44"/>
      <c r="H25"/>
      <c r="I25"/>
      <c r="O25" s="45"/>
    </row>
    <row r="26" spans="1:15" x14ac:dyDescent="0.25">
      <c r="A26" s="44"/>
      <c r="H26"/>
      <c r="I26"/>
      <c r="O26" s="45"/>
    </row>
    <row r="27" spans="1:15" x14ac:dyDescent="0.25">
      <c r="A27" s="44"/>
      <c r="H27"/>
      <c r="I27"/>
      <c r="O27" s="45"/>
    </row>
    <row r="28" spans="1:15" x14ac:dyDescent="0.25">
      <c r="A28" s="44"/>
      <c r="H28"/>
      <c r="I28"/>
      <c r="O28" s="45"/>
    </row>
    <row r="29" spans="1:15" x14ac:dyDescent="0.25">
      <c r="A29" s="44"/>
      <c r="H29"/>
      <c r="I29"/>
      <c r="O29" s="45"/>
    </row>
    <row r="30" spans="1:15" x14ac:dyDescent="0.25">
      <c r="A30" s="44"/>
      <c r="H30"/>
      <c r="I30"/>
      <c r="O30" s="45"/>
    </row>
    <row r="31" spans="1:15" x14ac:dyDescent="0.25">
      <c r="A31" s="44"/>
      <c r="H31"/>
      <c r="I31"/>
      <c r="O31" s="45"/>
    </row>
    <row r="32" spans="1:15" x14ac:dyDescent="0.25">
      <c r="A32" s="44"/>
      <c r="H32"/>
      <c r="I32"/>
      <c r="O32" s="45"/>
    </row>
    <row r="33" spans="1:15" x14ac:dyDescent="0.25">
      <c r="A33" s="44"/>
      <c r="H33"/>
      <c r="I33"/>
      <c r="O33" s="45"/>
    </row>
    <row r="34" spans="1:15" x14ac:dyDescent="0.25">
      <c r="A34" s="44"/>
      <c r="H34"/>
      <c r="I34"/>
      <c r="O34" s="45"/>
    </row>
    <row r="35" spans="1:15" x14ac:dyDescent="0.25">
      <c r="A35" s="44"/>
      <c r="H35"/>
      <c r="I35"/>
      <c r="O35" s="45"/>
    </row>
    <row r="36" spans="1:15" x14ac:dyDescent="0.25">
      <c r="A36" s="58"/>
      <c r="B36" s="59"/>
      <c r="C36" s="59"/>
      <c r="D36" s="59"/>
      <c r="E36" s="59"/>
      <c r="F36" s="60"/>
      <c r="G36" s="60"/>
      <c r="H36" s="61"/>
      <c r="I36" s="62"/>
      <c r="J36" s="60"/>
      <c r="K36" s="60"/>
      <c r="L36" s="60"/>
      <c r="M36" s="59"/>
      <c r="N36" s="59"/>
      <c r="O36" s="63"/>
    </row>
  </sheetData>
  <mergeCells count="1">
    <mergeCell ref="B2:D3"/>
  </mergeCells>
  <dataValidations disablePrompts="1" count="2">
    <dataValidation type="list" allowBlank="1" showInputMessage="1" showErrorMessage="1" sqref="W8" xr:uid="{CDD7E8D1-9642-4516-B3A3-BC6763B8B25A}">
      <formula1>"1,3,6,12,24"</formula1>
    </dataValidation>
    <dataValidation type="list" allowBlank="1" showInputMessage="1" showErrorMessage="1" sqref="R8" xr:uid="{8734E43F-7079-43BB-9302-1ED87B593120}">
      <formula1>$C$8:$C$16</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FCE965F2-0D65-4D07-8E00-B5354E9A87B6}">
            <x14:iconSet iconSet="3Triangles" custom="1">
              <x14:cfvo type="percent">
                <xm:f>0</xm:f>
              </x14:cfvo>
              <x14:cfvo type="num">
                <xm:f>0</xm:f>
              </x14:cfvo>
              <x14:cfvo type="num">
                <xm:f>0</xm:f>
              </x14:cfvo>
              <x14:cfIcon iconSet="3Triangles" iconId="0"/>
              <x14:cfIcon iconSet="3Triangles" iconId="0"/>
              <x14:cfIcon iconSet="3Triangles" iconId="2"/>
            </x14:iconSet>
          </x14:cfRule>
          <xm:sqref>I8:I15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5F295-296E-42C3-879E-9AE5C767F43D}">
  <sheetPr codeName="Sheet3">
    <tabColor theme="4" tint="-0.249977111117893"/>
  </sheetPr>
  <dimension ref="B2:W132"/>
  <sheetViews>
    <sheetView zoomScale="85" zoomScaleNormal="85" workbookViewId="0">
      <selection activeCell="L29" sqref="L29"/>
    </sheetView>
  </sheetViews>
  <sheetFormatPr defaultRowHeight="13.8" x14ac:dyDescent="0.25"/>
  <cols>
    <col min="1" max="1" width="6.296875" customWidth="1"/>
    <col min="2" max="2" width="13.8984375" customWidth="1"/>
    <col min="3" max="3" width="11.8984375" customWidth="1"/>
    <col min="5" max="5" width="11.3984375" customWidth="1"/>
    <col min="6" max="6" width="11.8984375" customWidth="1"/>
    <col min="7" max="7" width="8.296875" customWidth="1"/>
    <col min="12" max="12" width="11.19921875" customWidth="1"/>
  </cols>
  <sheetData>
    <row r="2" spans="2:23" x14ac:dyDescent="0.25">
      <c r="B2" s="19" t="s">
        <v>29</v>
      </c>
      <c r="C2" s="19"/>
      <c r="E2" s="19" t="s">
        <v>30</v>
      </c>
      <c r="F2" s="19"/>
      <c r="G2" s="19"/>
      <c r="I2" s="19" t="s">
        <v>23</v>
      </c>
      <c r="J2" s="19"/>
      <c r="K2" s="19"/>
      <c r="L2" s="19"/>
      <c r="M2" s="19"/>
      <c r="N2" s="19"/>
      <c r="O2" s="19"/>
      <c r="P2" s="19"/>
      <c r="Q2" s="19"/>
      <c r="R2" s="19"/>
      <c r="S2" s="19"/>
      <c r="T2" s="19"/>
      <c r="U2" s="19"/>
      <c r="V2" s="19"/>
      <c r="W2" s="19"/>
    </row>
    <row r="3" spans="2:23" x14ac:dyDescent="0.25">
      <c r="I3" s="2"/>
      <c r="J3" s="2"/>
    </row>
    <row r="4" spans="2:23" x14ac:dyDescent="0.25">
      <c r="B4" s="14" t="s">
        <v>31</v>
      </c>
      <c r="C4" s="20" t="e" vm="6">
        <f>L4</f>
        <v>#VALUE!</v>
      </c>
      <c r="E4" s="14" t="s">
        <v>0</v>
      </c>
      <c r="F4" s="20" t="e" vm="7">
        <f>L29</f>
        <v>#VALUE!</v>
      </c>
      <c r="J4" s="12" t="s">
        <v>25</v>
      </c>
      <c r="K4" s="10"/>
      <c r="L4" s="31" t="e" vm="6">
        <v>#VALUE!</v>
      </c>
      <c r="M4" s="21"/>
      <c r="P4" s="13" t="s">
        <v>26</v>
      </c>
      <c r="Q4" s="11"/>
      <c r="R4" s="11"/>
      <c r="S4" s="33">
        <v>6</v>
      </c>
    </row>
    <row r="5" spans="2:23" x14ac:dyDescent="0.25">
      <c r="I5" s="2"/>
      <c r="J5" s="2"/>
      <c r="P5" t="s">
        <v>28</v>
      </c>
    </row>
    <row r="6" spans="2:23" x14ac:dyDescent="0.25">
      <c r="B6" s="14" t="s">
        <v>32</v>
      </c>
      <c r="C6" s="15">
        <f>S4</f>
        <v>6</v>
      </c>
      <c r="E6" s="14" t="s">
        <v>32</v>
      </c>
      <c r="F6" s="15">
        <f>S4</f>
        <v>6</v>
      </c>
      <c r="I6" s="16" t="str" cm="1">
        <f t="array" aca="1" ref="I6" ca="1">S4&amp;" Month Trailing Closing Price of "&amp;_FV( C4,"Name")</f>
        <v>6 Month Trailing Closing Price of WALMART INC.</v>
      </c>
      <c r="J6" s="16"/>
      <c r="K6" s="16"/>
      <c r="L6" s="16"/>
      <c r="M6" s="16"/>
      <c r="N6" s="16"/>
      <c r="O6" s="16"/>
      <c r="P6" s="16"/>
      <c r="Q6" s="16"/>
      <c r="R6" s="16"/>
      <c r="S6" s="16"/>
      <c r="T6" s="16"/>
      <c r="U6" s="16"/>
      <c r="V6" s="16"/>
      <c r="W6" s="16"/>
    </row>
    <row r="8" spans="2:23" x14ac:dyDescent="0.25">
      <c r="B8" t="str" cm="1">
        <f t="array" aca="1" ref="B8:C132" ca="1">_xlfn.STOCKHISTORY(C4,EDATE(TODAY(),-C6),TODAY())</f>
        <v>Date</v>
      </c>
      <c r="C8" t="str">
        <f ca="1"/>
        <v>Close</v>
      </c>
      <c r="E8" t="str" cm="1">
        <f t="array" aca="1" ref="E8:F132" ca="1">_xlfn.STOCKHISTORY(F4,EDATE(TODAY(),-F6),TODAY())</f>
        <v>Date</v>
      </c>
      <c r="F8" t="str">
        <f ca="1"/>
        <v>Close</v>
      </c>
    </row>
    <row r="9" spans="2:23" x14ac:dyDescent="0.25">
      <c r="B9" vm="11">
        <f ca="1"/>
        <v>45580</v>
      </c>
      <c r="C9" vm="12">
        <f ca="1"/>
        <v>81.650000000000006</v>
      </c>
      <c r="E9" vm="11">
        <f ca="1"/>
        <v>45580</v>
      </c>
      <c r="F9" s="22" vm="13">
        <f ca="1"/>
        <v>10.42</v>
      </c>
    </row>
    <row r="10" spans="2:23" x14ac:dyDescent="0.25">
      <c r="B10" vm="14">
        <f ca="1"/>
        <v>45581</v>
      </c>
      <c r="C10" vm="15">
        <f ca="1"/>
        <v>81.22</v>
      </c>
      <c r="E10" vm="14">
        <f ca="1"/>
        <v>45581</v>
      </c>
      <c r="F10" s="22" vm="16">
        <f ca="1"/>
        <v>11.07</v>
      </c>
    </row>
    <row r="11" spans="2:23" x14ac:dyDescent="0.25">
      <c r="B11" vm="17">
        <f ca="1"/>
        <v>45582</v>
      </c>
      <c r="C11" vm="18">
        <f ca="1"/>
        <v>80.89</v>
      </c>
      <c r="E11" vm="17">
        <f ca="1"/>
        <v>45582</v>
      </c>
      <c r="F11" s="22" vm="19">
        <f ca="1"/>
        <v>10.66</v>
      </c>
    </row>
    <row r="12" spans="2:23" x14ac:dyDescent="0.25">
      <c r="B12" vm="20">
        <f ca="1"/>
        <v>45583</v>
      </c>
      <c r="C12" vm="21">
        <f ca="1"/>
        <v>81.31</v>
      </c>
      <c r="E12" vm="20">
        <f ca="1"/>
        <v>45583</v>
      </c>
      <c r="F12" s="22" vm="22">
        <f ca="1"/>
        <v>10.79</v>
      </c>
    </row>
    <row r="13" spans="2:23" x14ac:dyDescent="0.25">
      <c r="B13" vm="23">
        <f ca="1"/>
        <v>45586</v>
      </c>
      <c r="C13" vm="24">
        <f ca="1"/>
        <v>80.81</v>
      </c>
      <c r="E13" vm="23">
        <f ca="1"/>
        <v>45586</v>
      </c>
      <c r="F13" s="22" vm="25">
        <f ca="1"/>
        <v>10.45</v>
      </c>
    </row>
    <row r="14" spans="2:23" x14ac:dyDescent="0.25">
      <c r="B14" vm="26">
        <f ca="1"/>
        <v>45587</v>
      </c>
      <c r="C14" vm="27">
        <f ca="1"/>
        <v>82.02</v>
      </c>
      <c r="E14" vm="26">
        <f ca="1"/>
        <v>45587</v>
      </c>
      <c r="F14" s="22" vm="28">
        <f ca="1"/>
        <v>9.73</v>
      </c>
    </row>
    <row r="15" spans="2:23" x14ac:dyDescent="0.25">
      <c r="B15" vm="29">
        <f ca="1"/>
        <v>45588</v>
      </c>
      <c r="C15" vm="30">
        <f ca="1"/>
        <v>83.27</v>
      </c>
      <c r="E15" vm="29">
        <f ca="1"/>
        <v>45588</v>
      </c>
      <c r="F15" s="22" vm="31">
        <f ca="1"/>
        <v>9.35</v>
      </c>
    </row>
    <row r="16" spans="2:23" x14ac:dyDescent="0.25">
      <c r="B16" vm="32">
        <f ca="1"/>
        <v>45589</v>
      </c>
      <c r="C16" vm="33">
        <f ca="1"/>
        <v>83.04</v>
      </c>
      <c r="E16" vm="32">
        <f ca="1"/>
        <v>45589</v>
      </c>
      <c r="F16" s="22" vm="34">
        <f ca="1"/>
        <v>9.34</v>
      </c>
    </row>
    <row r="17" spans="2:23" x14ac:dyDescent="0.25">
      <c r="B17" vm="35">
        <f ca="1"/>
        <v>45590</v>
      </c>
      <c r="C17" vm="36">
        <f ca="1"/>
        <v>82.51</v>
      </c>
      <c r="E17" vm="35">
        <f ca="1"/>
        <v>45590</v>
      </c>
      <c r="F17" s="22" vm="37">
        <f ca="1"/>
        <v>9.26</v>
      </c>
    </row>
    <row r="18" spans="2:23" x14ac:dyDescent="0.25">
      <c r="B18" vm="38">
        <f ca="1"/>
        <v>45593</v>
      </c>
      <c r="C18" vm="39">
        <f ca="1"/>
        <v>82.75</v>
      </c>
      <c r="E18" vm="38">
        <f ca="1"/>
        <v>45593</v>
      </c>
      <c r="F18" s="22" vm="40">
        <f ca="1"/>
        <v>9.44</v>
      </c>
    </row>
    <row r="19" spans="2:23" x14ac:dyDescent="0.25">
      <c r="B19" vm="41">
        <f ca="1"/>
        <v>45594</v>
      </c>
      <c r="C19" vm="42">
        <f ca="1"/>
        <v>81.7</v>
      </c>
      <c r="E19" vm="41">
        <f ca="1"/>
        <v>45594</v>
      </c>
      <c r="F19" s="22" vm="31">
        <f ca="1"/>
        <v>9.35</v>
      </c>
    </row>
    <row r="20" spans="2:23" x14ac:dyDescent="0.25">
      <c r="B20" vm="43">
        <f ca="1"/>
        <v>45595</v>
      </c>
      <c r="C20" vm="44">
        <f ca="1"/>
        <v>81.39</v>
      </c>
      <c r="E20" vm="43">
        <f ca="1"/>
        <v>45595</v>
      </c>
      <c r="F20" s="22" vm="45">
        <f ca="1"/>
        <v>9.24</v>
      </c>
    </row>
    <row r="21" spans="2:23" x14ac:dyDescent="0.25">
      <c r="B21" vm="46">
        <f ca="1"/>
        <v>45596</v>
      </c>
      <c r="C21" vm="47">
        <f ca="1"/>
        <v>81.95</v>
      </c>
      <c r="E21" vm="46">
        <f ca="1"/>
        <v>45596</v>
      </c>
      <c r="F21" s="22" vm="48">
        <f ca="1"/>
        <v>9.4600000000000009</v>
      </c>
    </row>
    <row r="22" spans="2:23" x14ac:dyDescent="0.25">
      <c r="B22" vm="49">
        <f ca="1"/>
        <v>45597</v>
      </c>
      <c r="C22" vm="50">
        <f ca="1"/>
        <v>82.19</v>
      </c>
      <c r="E22" vm="49">
        <f ca="1"/>
        <v>45597</v>
      </c>
      <c r="F22" s="22" vm="48">
        <f ca="1"/>
        <v>9.4600000000000009</v>
      </c>
    </row>
    <row r="23" spans="2:23" x14ac:dyDescent="0.25">
      <c r="B23" vm="51">
        <f ca="1"/>
        <v>45600</v>
      </c>
      <c r="C23" vm="52">
        <f ca="1"/>
        <v>82.45</v>
      </c>
      <c r="E23" vm="51">
        <f ca="1"/>
        <v>45600</v>
      </c>
      <c r="F23" s="22" vm="53">
        <f ca="1"/>
        <v>9.33</v>
      </c>
    </row>
    <row r="24" spans="2:23" x14ac:dyDescent="0.25">
      <c r="B24" vm="54">
        <f ca="1"/>
        <v>45601</v>
      </c>
      <c r="C24" vm="55">
        <f ca="1"/>
        <v>83.68</v>
      </c>
      <c r="E24" vm="54">
        <f ca="1"/>
        <v>45601</v>
      </c>
      <c r="F24" s="22" vm="56">
        <f ca="1"/>
        <v>9.6199999999999992</v>
      </c>
    </row>
    <row r="25" spans="2:23" x14ac:dyDescent="0.25">
      <c r="B25" vm="57">
        <f ca="1"/>
        <v>45602</v>
      </c>
      <c r="C25" vm="58">
        <f ca="1"/>
        <v>83.44</v>
      </c>
      <c r="E25" vm="57">
        <f ca="1"/>
        <v>45602</v>
      </c>
      <c r="F25" s="22" vm="59">
        <f ca="1"/>
        <v>9.23</v>
      </c>
    </row>
    <row r="26" spans="2:23" x14ac:dyDescent="0.25">
      <c r="B26" vm="60">
        <f ca="1"/>
        <v>45603</v>
      </c>
      <c r="C26" vm="61">
        <f ca="1"/>
        <v>83.85</v>
      </c>
      <c r="E26" vm="60">
        <f ca="1"/>
        <v>45603</v>
      </c>
      <c r="F26" s="22" vm="62">
        <f ca="1"/>
        <v>9.27</v>
      </c>
    </row>
    <row r="27" spans="2:23" x14ac:dyDescent="0.25">
      <c r="B27" vm="63">
        <f ca="1"/>
        <v>45604</v>
      </c>
      <c r="C27" vm="64">
        <f ca="1"/>
        <v>84.83</v>
      </c>
      <c r="E27" vm="63">
        <f ca="1"/>
        <v>45604</v>
      </c>
      <c r="F27" s="22" vm="65">
        <f ca="1"/>
        <v>9.07</v>
      </c>
      <c r="I27" s="19" t="s">
        <v>24</v>
      </c>
      <c r="J27" s="19"/>
      <c r="K27" s="19"/>
      <c r="L27" s="19"/>
      <c r="M27" s="19"/>
      <c r="N27" s="19"/>
      <c r="O27" s="19"/>
      <c r="P27" s="19"/>
      <c r="Q27" s="19"/>
      <c r="R27" s="19"/>
      <c r="S27" s="19"/>
      <c r="T27" s="19"/>
      <c r="U27" s="19"/>
      <c r="V27" s="19"/>
      <c r="W27" s="19"/>
    </row>
    <row r="28" spans="2:23" x14ac:dyDescent="0.25">
      <c r="B28" vm="66">
        <f ca="1"/>
        <v>45607</v>
      </c>
      <c r="C28" vm="67">
        <f ca="1"/>
        <v>84.21</v>
      </c>
      <c r="E28" vm="66">
        <f ca="1"/>
        <v>45607</v>
      </c>
      <c r="F28" s="22" vm="68">
        <f ca="1"/>
        <v>9.39</v>
      </c>
    </row>
    <row r="29" spans="2:23" x14ac:dyDescent="0.25">
      <c r="B29" vm="69">
        <f ca="1"/>
        <v>45608</v>
      </c>
      <c r="C29" vm="70">
        <f ca="1"/>
        <v>84.99</v>
      </c>
      <c r="E29" vm="69">
        <f ca="1"/>
        <v>45608</v>
      </c>
      <c r="F29" s="22" vm="71">
        <f ca="1"/>
        <v>9.01</v>
      </c>
      <c r="I29" s="64"/>
      <c r="J29" s="65" t="s">
        <v>27</v>
      </c>
      <c r="K29" s="66"/>
      <c r="L29" s="32" t="e" vm="7">
        <v>#VALUE!</v>
      </c>
      <c r="M29" s="17"/>
      <c r="N29" s="17"/>
      <c r="O29" s="18"/>
    </row>
    <row r="30" spans="2:23" x14ac:dyDescent="0.25">
      <c r="B30" vm="72">
        <f ca="1"/>
        <v>45609</v>
      </c>
      <c r="C30" vm="73">
        <f ca="1"/>
        <v>85.5</v>
      </c>
      <c r="E30" vm="72">
        <f ca="1"/>
        <v>45609</v>
      </c>
      <c r="F30" s="22" vm="74">
        <f ca="1"/>
        <v>9.0299999999999994</v>
      </c>
    </row>
    <row r="31" spans="2:23" x14ac:dyDescent="0.25">
      <c r="B31" vm="75">
        <f ca="1"/>
        <v>45610</v>
      </c>
      <c r="C31" vm="76">
        <f ca="1"/>
        <v>84.47</v>
      </c>
      <c r="E31" vm="75">
        <f ca="1"/>
        <v>45610</v>
      </c>
      <c r="F31" s="22" vm="77">
        <f ca="1"/>
        <v>8.81</v>
      </c>
      <c r="I31" s="16" t="str" cm="1">
        <f t="array" aca="1" ref="I31" ca="1">C6&amp;" Month Trailing Closing Price of "&amp;_FV(L4,"Name")&amp;" and "&amp;_FV(L29,"Name")</f>
        <v>6 Month Trailing Closing Price of WALMART INC. and WALGREENS BOOTS ALLIANCE, INC.</v>
      </c>
      <c r="J31" s="16"/>
      <c r="K31" s="16"/>
      <c r="L31" s="16"/>
      <c r="M31" s="16"/>
      <c r="N31" s="16"/>
      <c r="O31" s="16"/>
      <c r="P31" s="16"/>
      <c r="Q31" s="16"/>
      <c r="R31" s="16"/>
      <c r="S31" s="16"/>
      <c r="T31" s="16"/>
      <c r="U31" s="16"/>
      <c r="V31" s="16"/>
      <c r="W31" s="16"/>
    </row>
    <row r="32" spans="2:23" x14ac:dyDescent="0.25">
      <c r="B32" vm="78">
        <f ca="1"/>
        <v>45611</v>
      </c>
      <c r="C32" vm="79">
        <f ca="1"/>
        <v>84.25</v>
      </c>
      <c r="E32" vm="78">
        <f ca="1"/>
        <v>45611</v>
      </c>
      <c r="F32" s="22" vm="80">
        <f ca="1"/>
        <v>8.48</v>
      </c>
    </row>
    <row r="33" spans="2:6" x14ac:dyDescent="0.25">
      <c r="B33" vm="81">
        <f ca="1"/>
        <v>45614</v>
      </c>
      <c r="C33" vm="82">
        <f ca="1"/>
        <v>84.08</v>
      </c>
      <c r="E33" vm="81">
        <f ca="1"/>
        <v>45614</v>
      </c>
      <c r="F33" s="22" vm="83">
        <f ca="1"/>
        <v>8.66</v>
      </c>
    </row>
    <row r="34" spans="2:6" x14ac:dyDescent="0.25">
      <c r="B34" vm="84">
        <f ca="1"/>
        <v>45615</v>
      </c>
      <c r="C34" vm="85">
        <f ca="1"/>
        <v>86.6</v>
      </c>
      <c r="E34" vm="84">
        <f ca="1"/>
        <v>45615</v>
      </c>
      <c r="F34" s="22" vm="86">
        <f ca="1"/>
        <v>8.2899999999999991</v>
      </c>
    </row>
    <row r="35" spans="2:6" x14ac:dyDescent="0.25">
      <c r="B35" vm="87">
        <f ca="1"/>
        <v>45616</v>
      </c>
      <c r="C35" vm="88">
        <f ca="1"/>
        <v>87.18</v>
      </c>
      <c r="E35" vm="87">
        <f ca="1"/>
        <v>45616</v>
      </c>
      <c r="F35" s="22" vm="89">
        <f ca="1"/>
        <v>8.24</v>
      </c>
    </row>
    <row r="36" spans="2:6" x14ac:dyDescent="0.25">
      <c r="B36" vm="90">
        <f ca="1"/>
        <v>45617</v>
      </c>
      <c r="C36" vm="91">
        <f ca="1"/>
        <v>88.39</v>
      </c>
      <c r="E36" vm="90">
        <f ca="1"/>
        <v>45617</v>
      </c>
      <c r="F36" s="22" vm="92">
        <f ca="1"/>
        <v>8.3000000000000007</v>
      </c>
    </row>
    <row r="37" spans="2:6" x14ac:dyDescent="0.25">
      <c r="B37" vm="93">
        <f ca="1"/>
        <v>45618</v>
      </c>
      <c r="C37" vm="94">
        <f ca="1"/>
        <v>90.44</v>
      </c>
      <c r="E37" vm="93">
        <f ca="1"/>
        <v>45618</v>
      </c>
      <c r="F37" s="22" vm="83">
        <f ca="1"/>
        <v>8.66</v>
      </c>
    </row>
    <row r="38" spans="2:6" x14ac:dyDescent="0.25">
      <c r="B38" vm="95">
        <f ca="1"/>
        <v>45621</v>
      </c>
      <c r="C38" vm="96">
        <f ca="1"/>
        <v>89.5</v>
      </c>
      <c r="E38" vm="95">
        <f ca="1"/>
        <v>45621</v>
      </c>
      <c r="F38" s="22" vm="97">
        <f ca="1"/>
        <v>9.06</v>
      </c>
    </row>
    <row r="39" spans="2:6" x14ac:dyDescent="0.25">
      <c r="B39" vm="98">
        <f ca="1"/>
        <v>45622</v>
      </c>
      <c r="C39" vm="99">
        <f ca="1"/>
        <v>91.31</v>
      </c>
      <c r="E39" vm="98">
        <f ca="1"/>
        <v>45622</v>
      </c>
      <c r="F39" s="22" vm="100">
        <f ca="1"/>
        <v>8.73</v>
      </c>
    </row>
    <row r="40" spans="2:6" x14ac:dyDescent="0.25">
      <c r="B40" vm="101">
        <f ca="1"/>
        <v>45623</v>
      </c>
      <c r="C40" vm="102">
        <f ca="1"/>
        <v>91.88</v>
      </c>
      <c r="E40" vm="101">
        <f ca="1"/>
        <v>45623</v>
      </c>
      <c r="F40" s="22" vm="97">
        <f ca="1"/>
        <v>9.06</v>
      </c>
    </row>
    <row r="41" spans="2:6" x14ac:dyDescent="0.25">
      <c r="B41" vm="103">
        <f ca="1"/>
        <v>45625</v>
      </c>
      <c r="C41" vm="104">
        <f ca="1"/>
        <v>92.5</v>
      </c>
      <c r="E41" vm="103">
        <f ca="1"/>
        <v>45625</v>
      </c>
      <c r="F41" s="22" vm="105">
        <f ca="1"/>
        <v>9.02</v>
      </c>
    </row>
    <row r="42" spans="2:6" x14ac:dyDescent="0.25">
      <c r="B42" vm="106">
        <f ca="1"/>
        <v>45628</v>
      </c>
      <c r="C42" vm="107">
        <f ca="1"/>
        <v>92.64</v>
      </c>
      <c r="E42" vm="106">
        <f ca="1"/>
        <v>45628</v>
      </c>
      <c r="F42" s="22" vm="108">
        <f ca="1"/>
        <v>8.98</v>
      </c>
    </row>
    <row r="43" spans="2:6" x14ac:dyDescent="0.25">
      <c r="B43" vm="109">
        <f ca="1"/>
        <v>45629</v>
      </c>
      <c r="C43" vm="110">
        <f ca="1"/>
        <v>93.51</v>
      </c>
      <c r="E43" vm="109">
        <f ca="1"/>
        <v>45629</v>
      </c>
      <c r="F43" s="22" vm="111">
        <f ca="1"/>
        <v>8.9499999999999993</v>
      </c>
    </row>
    <row r="44" spans="2:6" x14ac:dyDescent="0.25">
      <c r="B44" vm="112">
        <f ca="1"/>
        <v>45630</v>
      </c>
      <c r="C44" vm="113">
        <f ca="1"/>
        <v>94.45</v>
      </c>
      <c r="E44" vm="112">
        <f ca="1"/>
        <v>45630</v>
      </c>
      <c r="F44" s="22" vm="114">
        <f ca="1"/>
        <v>8.74</v>
      </c>
    </row>
    <row r="45" spans="2:6" x14ac:dyDescent="0.25">
      <c r="B45" vm="115">
        <f ca="1"/>
        <v>45631</v>
      </c>
      <c r="C45" vm="116">
        <f ca="1"/>
        <v>95.3</v>
      </c>
      <c r="E45" vm="115">
        <f ca="1"/>
        <v>45631</v>
      </c>
      <c r="F45" s="22" vm="117">
        <f ca="1"/>
        <v>8.4700000000000006</v>
      </c>
    </row>
    <row r="46" spans="2:6" x14ac:dyDescent="0.25">
      <c r="B46" vm="118">
        <f ca="1"/>
        <v>45632</v>
      </c>
      <c r="C46" vm="119">
        <f ca="1"/>
        <v>95.7</v>
      </c>
      <c r="E46" vm="118">
        <f ca="1"/>
        <v>45632</v>
      </c>
      <c r="F46" s="22" vm="120">
        <f ca="1"/>
        <v>8.56</v>
      </c>
    </row>
    <row r="47" spans="2:6" x14ac:dyDescent="0.25">
      <c r="B47" vm="121">
        <f ca="1"/>
        <v>45635</v>
      </c>
      <c r="C47" vm="122">
        <f ca="1"/>
        <v>93.83</v>
      </c>
      <c r="E47" vm="121">
        <f ca="1"/>
        <v>45635</v>
      </c>
      <c r="F47" s="22" vm="123">
        <f ca="1"/>
        <v>8.85</v>
      </c>
    </row>
    <row r="48" spans="2:6" x14ac:dyDescent="0.25">
      <c r="B48" vm="124">
        <f ca="1"/>
        <v>45636</v>
      </c>
      <c r="C48" vm="125">
        <f ca="1"/>
        <v>94.55</v>
      </c>
      <c r="E48" vm="124">
        <f ca="1"/>
        <v>45636</v>
      </c>
      <c r="F48" s="22" vm="13">
        <f ca="1"/>
        <v>10.42</v>
      </c>
    </row>
    <row r="49" spans="2:6" x14ac:dyDescent="0.25">
      <c r="B49" vm="126">
        <f ca="1"/>
        <v>45637</v>
      </c>
      <c r="C49" vm="127">
        <f ca="1"/>
        <v>94.96</v>
      </c>
      <c r="E49" vm="126">
        <f ca="1"/>
        <v>45637</v>
      </c>
      <c r="F49" s="22" vm="128">
        <f ca="1"/>
        <v>9.84</v>
      </c>
    </row>
    <row r="50" spans="2:6" x14ac:dyDescent="0.25">
      <c r="B50" vm="129">
        <f ca="1"/>
        <v>45638</v>
      </c>
      <c r="C50" vm="130">
        <f ca="1"/>
        <v>94.09</v>
      </c>
      <c r="E50" vm="129">
        <f ca="1"/>
        <v>45638</v>
      </c>
      <c r="F50" s="22" vm="28">
        <f ca="1"/>
        <v>9.73</v>
      </c>
    </row>
    <row r="51" spans="2:6" x14ac:dyDescent="0.25">
      <c r="B51" vm="131">
        <f ca="1"/>
        <v>45639</v>
      </c>
      <c r="C51" vm="132">
        <f ca="1"/>
        <v>94.25</v>
      </c>
      <c r="E51" vm="131">
        <f ca="1"/>
        <v>45639</v>
      </c>
      <c r="F51" s="22" vm="133">
        <f ca="1"/>
        <v>10.39</v>
      </c>
    </row>
    <row r="52" spans="2:6" x14ac:dyDescent="0.25">
      <c r="B52" vm="134">
        <f ca="1"/>
        <v>45642</v>
      </c>
      <c r="C52" vm="135">
        <f ca="1"/>
        <v>94.87</v>
      </c>
      <c r="E52" vm="134">
        <f ca="1"/>
        <v>45642</v>
      </c>
      <c r="F52" s="22" vm="136">
        <f ca="1"/>
        <v>10.18</v>
      </c>
    </row>
    <row r="53" spans="2:6" x14ac:dyDescent="0.25">
      <c r="B53" vm="137">
        <f ca="1"/>
        <v>45643</v>
      </c>
      <c r="C53" vm="138">
        <f ca="1"/>
        <v>95.42</v>
      </c>
      <c r="E53" vm="137">
        <f ca="1"/>
        <v>45643</v>
      </c>
      <c r="F53" s="22" vm="139">
        <f ca="1"/>
        <v>9.9700000000000006</v>
      </c>
    </row>
    <row r="54" spans="2:6" x14ac:dyDescent="0.25">
      <c r="B54" vm="140">
        <f ca="1"/>
        <v>45644</v>
      </c>
      <c r="C54" vm="141">
        <f ca="1"/>
        <v>93.55</v>
      </c>
      <c r="E54" vm="140">
        <f ca="1"/>
        <v>45644</v>
      </c>
      <c r="F54" s="22" vm="142">
        <f ca="1"/>
        <v>9.6999999999999993</v>
      </c>
    </row>
    <row r="55" spans="2:6" x14ac:dyDescent="0.25">
      <c r="B55" vm="143">
        <f ca="1"/>
        <v>45645</v>
      </c>
      <c r="C55" vm="144">
        <f ca="1"/>
        <v>93.4</v>
      </c>
      <c r="E55" vm="143">
        <f ca="1"/>
        <v>45645</v>
      </c>
      <c r="F55" s="22" vm="31">
        <f ca="1"/>
        <v>9.35</v>
      </c>
    </row>
    <row r="56" spans="2:6" x14ac:dyDescent="0.25">
      <c r="B56" vm="145">
        <f ca="1"/>
        <v>45646</v>
      </c>
      <c r="C56" vm="146">
        <f ca="1"/>
        <v>92.24</v>
      </c>
      <c r="E56" vm="145">
        <f ca="1"/>
        <v>45646</v>
      </c>
      <c r="F56" s="22" vm="147">
        <f ca="1"/>
        <v>9.5500000000000007</v>
      </c>
    </row>
    <row r="57" spans="2:6" x14ac:dyDescent="0.25">
      <c r="B57" vm="148">
        <f ca="1"/>
        <v>45649</v>
      </c>
      <c r="C57" vm="149">
        <f ca="1"/>
        <v>90.35</v>
      </c>
      <c r="E57" vm="148">
        <f ca="1"/>
        <v>45649</v>
      </c>
      <c r="F57" s="22" vm="150">
        <f ca="1"/>
        <v>9.3000000000000007</v>
      </c>
    </row>
    <row r="58" spans="2:6" x14ac:dyDescent="0.25">
      <c r="B58" vm="151">
        <f ca="1"/>
        <v>45650</v>
      </c>
      <c r="C58" vm="152">
        <f ca="1"/>
        <v>92.68</v>
      </c>
      <c r="E58" vm="151">
        <f ca="1"/>
        <v>45650</v>
      </c>
      <c r="F58" s="22" vm="153">
        <f ca="1"/>
        <v>9.19</v>
      </c>
    </row>
    <row r="59" spans="2:6" x14ac:dyDescent="0.25">
      <c r="B59" vm="154">
        <f ca="1"/>
        <v>45652</v>
      </c>
      <c r="C59" vm="155">
        <f ca="1"/>
        <v>92.79</v>
      </c>
      <c r="E59" vm="154">
        <f ca="1"/>
        <v>45652</v>
      </c>
      <c r="F59" s="22" vm="156">
        <f ca="1"/>
        <v>9.68</v>
      </c>
    </row>
    <row r="60" spans="2:6" x14ac:dyDescent="0.25">
      <c r="B60" vm="157">
        <f ca="1"/>
        <v>45653</v>
      </c>
      <c r="C60" vm="158">
        <f ca="1"/>
        <v>91.66</v>
      </c>
      <c r="E60" vm="157">
        <f ca="1"/>
        <v>45653</v>
      </c>
      <c r="F60" s="22" vm="56">
        <f ca="1"/>
        <v>9.6199999999999992</v>
      </c>
    </row>
    <row r="61" spans="2:6" x14ac:dyDescent="0.25">
      <c r="B61" vm="159">
        <f ca="1"/>
        <v>45656</v>
      </c>
      <c r="C61" vm="160">
        <f ca="1"/>
        <v>90.57</v>
      </c>
      <c r="E61" vm="159">
        <f ca="1"/>
        <v>45656</v>
      </c>
      <c r="F61" s="22" vm="37">
        <f ca="1"/>
        <v>9.26</v>
      </c>
    </row>
    <row r="62" spans="2:6" x14ac:dyDescent="0.25">
      <c r="B62" vm="161">
        <f ca="1"/>
        <v>45657</v>
      </c>
      <c r="C62" vm="149">
        <f ca="1"/>
        <v>90.35</v>
      </c>
      <c r="E62" vm="161">
        <f ca="1"/>
        <v>45657</v>
      </c>
      <c r="F62" s="22" vm="53">
        <f ca="1"/>
        <v>9.33</v>
      </c>
    </row>
    <row r="63" spans="2:6" x14ac:dyDescent="0.25">
      <c r="B63" vm="162">
        <f ca="1"/>
        <v>45659</v>
      </c>
      <c r="C63" vm="163">
        <f ca="1"/>
        <v>90</v>
      </c>
      <c r="E63" vm="162">
        <f ca="1"/>
        <v>45659</v>
      </c>
      <c r="F63" s="22" vm="153">
        <f ca="1"/>
        <v>9.19</v>
      </c>
    </row>
    <row r="64" spans="2:6" x14ac:dyDescent="0.25">
      <c r="B64" vm="164">
        <f ca="1"/>
        <v>45660</v>
      </c>
      <c r="C64" vm="165">
        <f ca="1"/>
        <v>90.78</v>
      </c>
      <c r="E64" vm="164">
        <f ca="1"/>
        <v>45660</v>
      </c>
      <c r="F64" s="22" vm="166">
        <f ca="1"/>
        <v>9.5</v>
      </c>
    </row>
    <row r="65" spans="2:6" x14ac:dyDescent="0.25">
      <c r="B65" vm="167">
        <f ca="1"/>
        <v>45663</v>
      </c>
      <c r="C65" vm="168">
        <f ca="1"/>
        <v>91.43</v>
      </c>
      <c r="E65" vm="167">
        <f ca="1"/>
        <v>45663</v>
      </c>
      <c r="F65" s="22" vm="169">
        <f ca="1"/>
        <v>9.4700000000000006</v>
      </c>
    </row>
    <row r="66" spans="2:6" x14ac:dyDescent="0.25">
      <c r="B66" vm="170">
        <f ca="1"/>
        <v>45664</v>
      </c>
      <c r="C66" vm="171">
        <f ca="1"/>
        <v>90.81</v>
      </c>
      <c r="E66" vm="170">
        <f ca="1"/>
        <v>45664</v>
      </c>
      <c r="F66" s="22" vm="172">
        <f ca="1"/>
        <v>9.67</v>
      </c>
    </row>
    <row r="67" spans="2:6" x14ac:dyDescent="0.25">
      <c r="B67" vm="173">
        <f ca="1"/>
        <v>45665</v>
      </c>
      <c r="C67" vm="174">
        <f ca="1"/>
        <v>91.8</v>
      </c>
      <c r="E67" vm="173">
        <f ca="1"/>
        <v>45665</v>
      </c>
      <c r="F67" s="22" vm="175">
        <f ca="1"/>
        <v>9.2200000000000006</v>
      </c>
    </row>
    <row r="68" spans="2:6" x14ac:dyDescent="0.25">
      <c r="B68" vm="176">
        <f ca="1"/>
        <v>45667</v>
      </c>
      <c r="C68" vm="177">
        <f ca="1"/>
        <v>93</v>
      </c>
      <c r="E68" vm="176">
        <f ca="1"/>
        <v>45667</v>
      </c>
      <c r="F68" s="22" vm="178">
        <f ca="1"/>
        <v>11.76</v>
      </c>
    </row>
    <row r="69" spans="2:6" x14ac:dyDescent="0.25">
      <c r="B69" vm="179">
        <f ca="1"/>
        <v>45670</v>
      </c>
      <c r="C69" vm="180">
        <f ca="1"/>
        <v>91.53</v>
      </c>
      <c r="E69" vm="179">
        <f ca="1"/>
        <v>45670</v>
      </c>
      <c r="F69" vm="181">
        <f ca="1"/>
        <v>11.9</v>
      </c>
    </row>
    <row r="70" spans="2:6" x14ac:dyDescent="0.25">
      <c r="B70" vm="182">
        <f ca="1"/>
        <v>45671</v>
      </c>
      <c r="C70" vm="183">
        <f ca="1"/>
        <v>90.79</v>
      </c>
      <c r="E70" vm="182">
        <f ca="1"/>
        <v>45671</v>
      </c>
      <c r="F70" vm="184">
        <f ca="1"/>
        <v>12.24</v>
      </c>
    </row>
    <row r="71" spans="2:6" x14ac:dyDescent="0.25">
      <c r="B71" vm="185">
        <f ca="1"/>
        <v>45672</v>
      </c>
      <c r="C71" vm="186">
        <f ca="1"/>
        <v>91.34</v>
      </c>
      <c r="E71" vm="185">
        <f ca="1"/>
        <v>45672</v>
      </c>
      <c r="F71" vm="187">
        <f ca="1"/>
        <v>12.53</v>
      </c>
    </row>
    <row r="72" spans="2:6" x14ac:dyDescent="0.25">
      <c r="B72" vm="188">
        <f ca="1"/>
        <v>45673</v>
      </c>
      <c r="C72" vm="189">
        <f ca="1"/>
        <v>91.3</v>
      </c>
      <c r="E72" vm="188">
        <f ca="1"/>
        <v>45673</v>
      </c>
      <c r="F72" vm="190">
        <f ca="1"/>
        <v>12.93</v>
      </c>
    </row>
    <row r="73" spans="2:6" x14ac:dyDescent="0.25">
      <c r="B73" vm="191">
        <f ca="1"/>
        <v>45674</v>
      </c>
      <c r="C73" vm="192">
        <f ca="1"/>
        <v>91.94</v>
      </c>
      <c r="E73" vm="191">
        <f ca="1"/>
        <v>45674</v>
      </c>
      <c r="F73" vm="193">
        <f ca="1"/>
        <v>12.52</v>
      </c>
    </row>
    <row r="74" spans="2:6" x14ac:dyDescent="0.25">
      <c r="B74" vm="194">
        <f ca="1"/>
        <v>45678</v>
      </c>
      <c r="C74" vm="195">
        <f ca="1"/>
        <v>93.08</v>
      </c>
      <c r="E74" vm="194">
        <f ca="1"/>
        <v>45678</v>
      </c>
      <c r="F74" vm="196">
        <f ca="1"/>
        <v>11.37</v>
      </c>
    </row>
    <row r="75" spans="2:6" x14ac:dyDescent="0.25">
      <c r="B75" vm="197">
        <f ca="1"/>
        <v>45679</v>
      </c>
      <c r="C75" vm="198">
        <f ca="1"/>
        <v>93.23</v>
      </c>
      <c r="E75" vm="197">
        <f ca="1"/>
        <v>45679</v>
      </c>
      <c r="F75" vm="199">
        <f ca="1"/>
        <v>11.62</v>
      </c>
    </row>
    <row r="76" spans="2:6" x14ac:dyDescent="0.25">
      <c r="B76" vm="200">
        <f ca="1"/>
        <v>45680</v>
      </c>
      <c r="C76" vm="201">
        <f ca="1"/>
        <v>93.81</v>
      </c>
      <c r="E76" vm="200">
        <f ca="1"/>
        <v>45680</v>
      </c>
      <c r="F76" vm="202">
        <f ca="1"/>
        <v>11.74</v>
      </c>
    </row>
    <row r="77" spans="2:6" x14ac:dyDescent="0.25">
      <c r="B77" vm="203">
        <f ca="1"/>
        <v>45681</v>
      </c>
      <c r="C77" vm="204">
        <f ca="1"/>
        <v>94.76</v>
      </c>
      <c r="E77" vm="203">
        <f ca="1"/>
        <v>45681</v>
      </c>
      <c r="F77" vm="205">
        <f ca="1"/>
        <v>11.87</v>
      </c>
    </row>
    <row r="78" spans="2:6" x14ac:dyDescent="0.25">
      <c r="B78" vm="206">
        <f ca="1"/>
        <v>45684</v>
      </c>
      <c r="C78" vm="207">
        <f ca="1"/>
        <v>97.4</v>
      </c>
      <c r="E78" vm="206">
        <f ca="1"/>
        <v>45684</v>
      </c>
      <c r="F78" vm="208">
        <f ca="1"/>
        <v>11.34</v>
      </c>
    </row>
    <row r="79" spans="2:6" x14ac:dyDescent="0.25">
      <c r="B79" vm="209">
        <f ca="1"/>
        <v>45685</v>
      </c>
      <c r="C79" vm="210">
        <f ca="1"/>
        <v>97.29</v>
      </c>
      <c r="E79" vm="209">
        <f ca="1"/>
        <v>45685</v>
      </c>
      <c r="F79" vm="211">
        <f ca="1"/>
        <v>10.89</v>
      </c>
    </row>
    <row r="80" spans="2:6" x14ac:dyDescent="0.25">
      <c r="B80" vm="212">
        <f ca="1"/>
        <v>45686</v>
      </c>
      <c r="C80" vm="213">
        <f ca="1"/>
        <v>97.5</v>
      </c>
      <c r="E80" vm="212">
        <f ca="1"/>
        <v>45686</v>
      </c>
      <c r="F80" vm="214">
        <f ca="1"/>
        <v>11.25</v>
      </c>
    </row>
    <row r="81" spans="2:6" x14ac:dyDescent="0.25">
      <c r="B81" vm="215">
        <f ca="1"/>
        <v>45687</v>
      </c>
      <c r="C81" vm="216">
        <f ca="1"/>
        <v>98.65</v>
      </c>
      <c r="E81" vm="215">
        <f ca="1"/>
        <v>45687</v>
      </c>
      <c r="F81" vm="217">
        <f ca="1"/>
        <v>11.46</v>
      </c>
    </row>
    <row r="82" spans="2:6" x14ac:dyDescent="0.25">
      <c r="B82" vm="218">
        <f ca="1"/>
        <v>45688</v>
      </c>
      <c r="C82" vm="219">
        <f ca="1"/>
        <v>98.16</v>
      </c>
      <c r="E82" vm="218">
        <f ca="1"/>
        <v>45688</v>
      </c>
      <c r="F82" vm="220">
        <f ca="1"/>
        <v>10.28</v>
      </c>
    </row>
    <row r="83" spans="2:6" x14ac:dyDescent="0.25">
      <c r="B83" vm="221">
        <f ca="1"/>
        <v>45691</v>
      </c>
      <c r="C83" vm="222">
        <f ca="1"/>
        <v>99.54</v>
      </c>
      <c r="E83" vm="221">
        <f ca="1"/>
        <v>45691</v>
      </c>
      <c r="F83" vm="223">
        <f ca="1"/>
        <v>9.76</v>
      </c>
    </row>
    <row r="84" spans="2:6" x14ac:dyDescent="0.25">
      <c r="B84" vm="224">
        <f ca="1"/>
        <v>45692</v>
      </c>
      <c r="C84" vm="225">
        <f ca="1"/>
        <v>100.77</v>
      </c>
      <c r="E84" vm="224">
        <f ca="1"/>
        <v>45692</v>
      </c>
      <c r="F84" vm="226">
        <f ca="1"/>
        <v>9.89</v>
      </c>
    </row>
    <row r="85" spans="2:6" x14ac:dyDescent="0.25">
      <c r="B85" vm="227">
        <f ca="1"/>
        <v>45693</v>
      </c>
      <c r="C85" vm="228">
        <f ca="1"/>
        <v>102.46</v>
      </c>
      <c r="E85" vm="227">
        <f ca="1"/>
        <v>45693</v>
      </c>
      <c r="F85" vm="229">
        <f ca="1"/>
        <v>10.119999999999999</v>
      </c>
    </row>
    <row r="86" spans="2:6" x14ac:dyDescent="0.25">
      <c r="B86" vm="230">
        <f ca="1"/>
        <v>45694</v>
      </c>
      <c r="C86" vm="231">
        <f ca="1"/>
        <v>102.85</v>
      </c>
      <c r="E86" vm="230">
        <f ca="1"/>
        <v>45694</v>
      </c>
      <c r="F86" vm="232">
        <f ca="1"/>
        <v>10.050000000000001</v>
      </c>
    </row>
    <row r="87" spans="2:6" x14ac:dyDescent="0.25">
      <c r="B87" vm="233">
        <f ca="1"/>
        <v>45695</v>
      </c>
      <c r="C87" vm="234">
        <f ca="1"/>
        <v>101.15</v>
      </c>
      <c r="E87" vm="233">
        <f ca="1"/>
        <v>45695</v>
      </c>
      <c r="F87" vm="229">
        <f ca="1"/>
        <v>10.119999999999999</v>
      </c>
    </row>
    <row r="88" spans="2:6" x14ac:dyDescent="0.25">
      <c r="B88" vm="235">
        <f ca="1"/>
        <v>45698</v>
      </c>
      <c r="C88" vm="236">
        <f ca="1"/>
        <v>102.92</v>
      </c>
      <c r="E88" vm="235">
        <f ca="1"/>
        <v>45698</v>
      </c>
      <c r="F88" vm="139">
        <f ca="1"/>
        <v>9.9700000000000006</v>
      </c>
    </row>
    <row r="89" spans="2:6" x14ac:dyDescent="0.25">
      <c r="B89" vm="237">
        <f ca="1"/>
        <v>45699</v>
      </c>
      <c r="C89" vm="238">
        <f ca="1"/>
        <v>102.47</v>
      </c>
      <c r="E89" vm="237">
        <f ca="1"/>
        <v>45699</v>
      </c>
      <c r="F89" vm="239">
        <f ca="1"/>
        <v>9.36</v>
      </c>
    </row>
    <row r="90" spans="2:6" x14ac:dyDescent="0.25">
      <c r="B90" vm="240">
        <f ca="1"/>
        <v>45700</v>
      </c>
      <c r="C90" vm="241">
        <f ca="1"/>
        <v>103.61</v>
      </c>
      <c r="E90" vm="240">
        <f ca="1"/>
        <v>45700</v>
      </c>
      <c r="F90" vm="169">
        <f ca="1"/>
        <v>9.4700000000000006</v>
      </c>
    </row>
    <row r="91" spans="2:6" x14ac:dyDescent="0.25">
      <c r="B91" vm="242">
        <f ca="1"/>
        <v>45701</v>
      </c>
      <c r="C91" vm="243">
        <f ca="1"/>
        <v>105.05</v>
      </c>
      <c r="E91" vm="242">
        <f ca="1"/>
        <v>45701</v>
      </c>
      <c r="F91" vm="244">
        <f ca="1"/>
        <v>9.75</v>
      </c>
    </row>
    <row r="92" spans="2:6" x14ac:dyDescent="0.25">
      <c r="B92" vm="245">
        <f ca="1"/>
        <v>45702</v>
      </c>
      <c r="C92" vm="246">
        <f ca="1"/>
        <v>104.04</v>
      </c>
      <c r="E92" vm="245">
        <f ca="1"/>
        <v>45702</v>
      </c>
      <c r="F92" vm="142">
        <f ca="1"/>
        <v>9.6999999999999993</v>
      </c>
    </row>
    <row r="93" spans="2:6" x14ac:dyDescent="0.25">
      <c r="B93" vm="247">
        <f ca="1"/>
        <v>45706</v>
      </c>
      <c r="C93" vm="248">
        <f ca="1"/>
        <v>103.78</v>
      </c>
      <c r="E93" vm="247">
        <f ca="1"/>
        <v>45706</v>
      </c>
      <c r="F93" vm="249">
        <f ca="1"/>
        <v>11.06</v>
      </c>
    </row>
    <row r="94" spans="2:6" x14ac:dyDescent="0.25">
      <c r="B94" vm="250">
        <f ca="1"/>
        <v>45707</v>
      </c>
      <c r="C94" vm="251">
        <f ca="1"/>
        <v>104</v>
      </c>
      <c r="E94" vm="250">
        <f ca="1"/>
        <v>45707</v>
      </c>
      <c r="F94" vm="22">
        <f ca="1"/>
        <v>10.79</v>
      </c>
    </row>
    <row r="95" spans="2:6" x14ac:dyDescent="0.25">
      <c r="B95" vm="252">
        <f ca="1"/>
        <v>45708</v>
      </c>
      <c r="C95" vm="253">
        <f ca="1"/>
        <v>97.21</v>
      </c>
      <c r="E95" vm="252">
        <f ca="1"/>
        <v>45708</v>
      </c>
      <c r="F95" vm="254">
        <f ca="1"/>
        <v>10.51</v>
      </c>
    </row>
    <row r="96" spans="2:6" x14ac:dyDescent="0.25">
      <c r="B96" vm="255">
        <f ca="1"/>
        <v>45709</v>
      </c>
      <c r="C96" vm="256">
        <f ca="1"/>
        <v>94.78</v>
      </c>
      <c r="E96" vm="255">
        <f ca="1"/>
        <v>45709</v>
      </c>
      <c r="F96" vm="257">
        <f ca="1"/>
        <v>10.16</v>
      </c>
    </row>
    <row r="97" spans="2:6" x14ac:dyDescent="0.25">
      <c r="B97" vm="258">
        <f ca="1"/>
        <v>45712</v>
      </c>
      <c r="C97" vm="259">
        <f ca="1"/>
        <v>93.67</v>
      </c>
      <c r="E97" vm="258">
        <f ca="1"/>
        <v>45712</v>
      </c>
      <c r="F97" vm="260">
        <f ca="1"/>
        <v>10.82</v>
      </c>
    </row>
    <row r="98" spans="2:6" x14ac:dyDescent="0.25">
      <c r="B98" vm="261">
        <f ca="1"/>
        <v>45713</v>
      </c>
      <c r="C98" vm="262">
        <f ca="1"/>
        <v>97.69</v>
      </c>
      <c r="E98" vm="261">
        <f ca="1"/>
        <v>45713</v>
      </c>
      <c r="F98" vm="263">
        <f ca="1"/>
        <v>11.38</v>
      </c>
    </row>
    <row r="99" spans="2:6" x14ac:dyDescent="0.25">
      <c r="B99" vm="264">
        <f ca="1"/>
        <v>45714</v>
      </c>
      <c r="C99" vm="265">
        <f ca="1"/>
        <v>96.2</v>
      </c>
      <c r="E99" vm="264">
        <f ca="1"/>
        <v>45714</v>
      </c>
      <c r="F99" vm="266">
        <f ca="1"/>
        <v>11.04</v>
      </c>
    </row>
    <row r="100" spans="2:6" x14ac:dyDescent="0.25">
      <c r="B100" vm="267">
        <f ca="1"/>
        <v>45715</v>
      </c>
      <c r="C100" vm="268">
        <f ca="1"/>
        <v>96.79</v>
      </c>
      <c r="E100" vm="267">
        <f ca="1"/>
        <v>45715</v>
      </c>
      <c r="F100" vm="269">
        <f ca="1"/>
        <v>11.23</v>
      </c>
    </row>
    <row r="101" spans="2:6" x14ac:dyDescent="0.25">
      <c r="B101" vm="270">
        <f ca="1"/>
        <v>45716</v>
      </c>
      <c r="C101" vm="271">
        <f ca="1"/>
        <v>98.61</v>
      </c>
      <c r="E101" vm="270">
        <f ca="1"/>
        <v>45716</v>
      </c>
      <c r="F101" vm="272">
        <f ca="1"/>
        <v>10.68</v>
      </c>
    </row>
    <row r="102" spans="2:6" x14ac:dyDescent="0.25">
      <c r="B102" vm="273">
        <f ca="1"/>
        <v>45719</v>
      </c>
      <c r="C102" vm="274">
        <f ca="1"/>
        <v>97.59</v>
      </c>
      <c r="E102" vm="273">
        <f ca="1"/>
        <v>45719</v>
      </c>
      <c r="F102" vm="275">
        <f ca="1"/>
        <v>10.26</v>
      </c>
    </row>
    <row r="103" spans="2:6" x14ac:dyDescent="0.25">
      <c r="B103" vm="276">
        <f ca="1"/>
        <v>45720</v>
      </c>
      <c r="C103" vm="277">
        <f ca="1"/>
        <v>94.97</v>
      </c>
      <c r="E103" vm="276">
        <f ca="1"/>
        <v>45720</v>
      </c>
      <c r="F103" vm="278">
        <f ca="1"/>
        <v>10.835000000000001</v>
      </c>
    </row>
    <row r="104" spans="2:6" x14ac:dyDescent="0.25">
      <c r="B104" vm="279">
        <f ca="1"/>
        <v>45721</v>
      </c>
      <c r="C104" vm="280">
        <f ca="1"/>
        <v>95.98</v>
      </c>
      <c r="E104" vm="279">
        <f ca="1"/>
        <v>45721</v>
      </c>
      <c r="F104" vm="281">
        <f ca="1"/>
        <v>10.75</v>
      </c>
    </row>
    <row r="105" spans="2:6" x14ac:dyDescent="0.25">
      <c r="B105" vm="282">
        <f ca="1"/>
        <v>45722</v>
      </c>
      <c r="C105" vm="283">
        <f ca="1"/>
        <v>94.64</v>
      </c>
      <c r="E105" vm="282">
        <f ca="1"/>
        <v>45722</v>
      </c>
      <c r="F105" vm="284">
        <f ca="1"/>
        <v>10.6</v>
      </c>
    </row>
    <row r="106" spans="2:6" x14ac:dyDescent="0.25">
      <c r="B106" vm="285">
        <f ca="1"/>
        <v>45723</v>
      </c>
      <c r="C106" vm="286">
        <f ca="1"/>
        <v>91.72</v>
      </c>
      <c r="E106" vm="285">
        <f ca="1"/>
        <v>45723</v>
      </c>
      <c r="F106" vm="287">
        <f ca="1"/>
        <v>11.39</v>
      </c>
    </row>
    <row r="107" spans="2:6" x14ac:dyDescent="0.25">
      <c r="B107" vm="288">
        <f ca="1"/>
        <v>45726</v>
      </c>
      <c r="C107" vm="289">
        <f ca="1"/>
        <v>87.82</v>
      </c>
      <c r="E107" vm="288">
        <f ca="1"/>
        <v>45726</v>
      </c>
      <c r="F107" vm="290">
        <f ca="1"/>
        <v>11.28</v>
      </c>
    </row>
    <row r="108" spans="2:6" x14ac:dyDescent="0.25">
      <c r="B108" vm="291">
        <f ca="1"/>
        <v>45727</v>
      </c>
      <c r="C108" vm="292">
        <f ca="1"/>
        <v>87.44</v>
      </c>
      <c r="E108" vm="291">
        <f ca="1"/>
        <v>45727</v>
      </c>
      <c r="F108" vm="293">
        <f ca="1"/>
        <v>11.21</v>
      </c>
    </row>
    <row r="109" spans="2:6" x14ac:dyDescent="0.25">
      <c r="B109" vm="294">
        <f ca="1"/>
        <v>45728</v>
      </c>
      <c r="C109" vm="295">
        <f ca="1"/>
        <v>85.2</v>
      </c>
      <c r="E109" vm="294">
        <f ca="1"/>
        <v>45728</v>
      </c>
      <c r="F109" vm="296">
        <f ca="1"/>
        <v>11.2</v>
      </c>
    </row>
    <row r="110" spans="2:6" x14ac:dyDescent="0.25">
      <c r="B110" vm="297">
        <f ca="1"/>
        <v>45729</v>
      </c>
      <c r="C110" vm="298">
        <f ca="1"/>
        <v>84.5</v>
      </c>
      <c r="E110" vm="297">
        <f ca="1"/>
        <v>45729</v>
      </c>
      <c r="F110" vm="299">
        <f ca="1"/>
        <v>11.26</v>
      </c>
    </row>
    <row r="111" spans="2:6" x14ac:dyDescent="0.25">
      <c r="B111" vm="300">
        <f ca="1"/>
        <v>45730</v>
      </c>
      <c r="C111" vm="301">
        <f ca="1"/>
        <v>85.35</v>
      </c>
      <c r="E111" vm="300">
        <f ca="1"/>
        <v>45730</v>
      </c>
      <c r="F111" vm="269">
        <f ca="1"/>
        <v>11.23</v>
      </c>
    </row>
    <row r="112" spans="2:6" x14ac:dyDescent="0.25">
      <c r="B112" vm="302">
        <f ca="1"/>
        <v>45733</v>
      </c>
      <c r="C112" vm="303">
        <f ca="1"/>
        <v>87.46</v>
      </c>
      <c r="E112" vm="302">
        <f ca="1"/>
        <v>45733</v>
      </c>
      <c r="F112" vm="299">
        <f ca="1"/>
        <v>11.26</v>
      </c>
    </row>
    <row r="113" spans="2:6" x14ac:dyDescent="0.25">
      <c r="B113" vm="304">
        <f ca="1"/>
        <v>45734</v>
      </c>
      <c r="C113" vm="305">
        <f ca="1"/>
        <v>85.59</v>
      </c>
      <c r="E113" vm="304">
        <f ca="1"/>
        <v>45734</v>
      </c>
      <c r="F113" vm="306">
        <f ca="1"/>
        <v>11.17</v>
      </c>
    </row>
    <row r="114" spans="2:6" x14ac:dyDescent="0.25">
      <c r="B114" vm="307">
        <f ca="1"/>
        <v>45735</v>
      </c>
      <c r="C114" vm="308">
        <f ca="1"/>
        <v>86.33</v>
      </c>
      <c r="E114" vm="307">
        <f ca="1"/>
        <v>45735</v>
      </c>
      <c r="F114" vm="309">
        <f ca="1"/>
        <v>11.16</v>
      </c>
    </row>
    <row r="115" spans="2:6" x14ac:dyDescent="0.25">
      <c r="B115" vm="310">
        <f ca="1"/>
        <v>45736</v>
      </c>
      <c r="C115" vm="311">
        <f ca="1"/>
        <v>85.81</v>
      </c>
      <c r="E115" vm="310">
        <f ca="1"/>
        <v>45736</v>
      </c>
      <c r="F115" vm="312">
        <f ca="1"/>
        <v>11.12</v>
      </c>
    </row>
    <row r="116" spans="2:6" x14ac:dyDescent="0.25">
      <c r="B116" vm="313">
        <f ca="1"/>
        <v>45737</v>
      </c>
      <c r="C116" vm="314">
        <f ca="1"/>
        <v>85.98</v>
      </c>
      <c r="E116" vm="313">
        <f ca="1"/>
        <v>45737</v>
      </c>
      <c r="F116" vm="315">
        <f ca="1"/>
        <v>11.1</v>
      </c>
    </row>
    <row r="117" spans="2:6" x14ac:dyDescent="0.25">
      <c r="B117" vm="316">
        <f ca="1"/>
        <v>45740</v>
      </c>
      <c r="C117" vm="317">
        <f ca="1"/>
        <v>87.49</v>
      </c>
      <c r="E117" vm="316">
        <f ca="1"/>
        <v>45740</v>
      </c>
      <c r="F117" vm="318">
        <f ca="1"/>
        <v>11.15</v>
      </c>
    </row>
    <row r="118" spans="2:6" x14ac:dyDescent="0.25">
      <c r="B118" vm="319">
        <f ca="1"/>
        <v>45741</v>
      </c>
      <c r="C118" vm="320">
        <f ca="1"/>
        <v>84.76</v>
      </c>
      <c r="E118" vm="319">
        <f ca="1"/>
        <v>45741</v>
      </c>
      <c r="F118" vm="312">
        <f ca="1"/>
        <v>11.12</v>
      </c>
    </row>
    <row r="119" spans="2:6" x14ac:dyDescent="0.25">
      <c r="B119" vm="321">
        <f ca="1"/>
        <v>45742</v>
      </c>
      <c r="C119" vm="322">
        <f ca="1"/>
        <v>85.21</v>
      </c>
      <c r="E119" vm="321">
        <f ca="1"/>
        <v>45742</v>
      </c>
      <c r="F119" vm="315">
        <f ca="1"/>
        <v>11.1</v>
      </c>
    </row>
    <row r="120" spans="2:6" x14ac:dyDescent="0.25">
      <c r="B120" vm="323">
        <f ca="1"/>
        <v>45743</v>
      </c>
      <c r="C120" vm="324">
        <f ca="1"/>
        <v>85.63</v>
      </c>
      <c r="E120" vm="323">
        <f ca="1"/>
        <v>45743</v>
      </c>
      <c r="F120" vm="309">
        <f ca="1"/>
        <v>11.16</v>
      </c>
    </row>
    <row r="121" spans="2:6" x14ac:dyDescent="0.25">
      <c r="B121" vm="325">
        <f ca="1"/>
        <v>45744</v>
      </c>
      <c r="C121" vm="326">
        <f ca="1"/>
        <v>85.15</v>
      </c>
      <c r="E121" vm="325">
        <f ca="1"/>
        <v>45744</v>
      </c>
      <c r="F121" vm="327">
        <f ca="1"/>
        <v>11.19</v>
      </c>
    </row>
    <row r="122" spans="2:6" x14ac:dyDescent="0.25">
      <c r="B122" vm="328">
        <f ca="1"/>
        <v>45747</v>
      </c>
      <c r="C122" vm="329">
        <f ca="1"/>
        <v>87.79</v>
      </c>
      <c r="E122" vm="328">
        <f ca="1"/>
        <v>45747</v>
      </c>
      <c r="F122" vm="306">
        <f ca="1"/>
        <v>11.17</v>
      </c>
    </row>
    <row r="123" spans="2:6" x14ac:dyDescent="0.25">
      <c r="B123" vm="330">
        <f ca="1"/>
        <v>45748</v>
      </c>
      <c r="C123" vm="331">
        <f ca="1"/>
        <v>88.83</v>
      </c>
      <c r="E123" vm="330">
        <f ca="1"/>
        <v>45748</v>
      </c>
      <c r="F123" vm="309">
        <f ca="1"/>
        <v>11.16</v>
      </c>
    </row>
    <row r="124" spans="2:6" x14ac:dyDescent="0.25">
      <c r="B124" vm="332">
        <f ca="1"/>
        <v>45749</v>
      </c>
      <c r="C124" vm="333">
        <f ca="1"/>
        <v>89.76</v>
      </c>
      <c r="E124" vm="332">
        <f ca="1"/>
        <v>45749</v>
      </c>
      <c r="F124" vm="334">
        <f ca="1"/>
        <v>11.18</v>
      </c>
    </row>
    <row r="125" spans="2:6" x14ac:dyDescent="0.25">
      <c r="B125" vm="335">
        <f ca="1"/>
        <v>45750</v>
      </c>
      <c r="C125" vm="336">
        <f ca="1"/>
        <v>87.26</v>
      </c>
      <c r="E125" vm="335">
        <f ca="1"/>
        <v>45750</v>
      </c>
      <c r="F125" vm="249">
        <f ca="1"/>
        <v>11.06</v>
      </c>
    </row>
    <row r="126" spans="2:6" x14ac:dyDescent="0.25">
      <c r="B126" vm="337">
        <f ca="1"/>
        <v>45751</v>
      </c>
      <c r="C126" vm="338">
        <f ca="1"/>
        <v>83.19</v>
      </c>
      <c r="E126" vm="337">
        <f ca="1"/>
        <v>45751</v>
      </c>
      <c r="F126" vm="272">
        <f ca="1"/>
        <v>10.68</v>
      </c>
    </row>
    <row r="127" spans="2:6" x14ac:dyDescent="0.25">
      <c r="B127" vm="339">
        <f ca="1"/>
        <v>45754</v>
      </c>
      <c r="C127" vm="340">
        <f ca="1"/>
        <v>83.83</v>
      </c>
      <c r="E127" vm="339">
        <f ca="1"/>
        <v>45754</v>
      </c>
      <c r="F127" vm="341">
        <f ca="1"/>
        <v>10.71</v>
      </c>
    </row>
    <row r="128" spans="2:6" x14ac:dyDescent="0.25">
      <c r="B128" vm="342">
        <f ca="1"/>
        <v>45755</v>
      </c>
      <c r="C128" vm="343">
        <f ca="1"/>
        <v>81.790000000000006</v>
      </c>
      <c r="E128" vm="342">
        <f ca="1"/>
        <v>45755</v>
      </c>
      <c r="F128" vm="344">
        <f ca="1"/>
        <v>10.59</v>
      </c>
    </row>
    <row r="129" spans="2:6" x14ac:dyDescent="0.25">
      <c r="B129" vm="345">
        <f ca="1"/>
        <v>45756</v>
      </c>
      <c r="C129" vm="346">
        <f ca="1"/>
        <v>89.6</v>
      </c>
      <c r="E129" vm="345">
        <f ca="1"/>
        <v>45756</v>
      </c>
      <c r="F129" vm="347">
        <f ca="1"/>
        <v>10.78</v>
      </c>
    </row>
    <row r="130" spans="2:6" x14ac:dyDescent="0.25">
      <c r="B130" vm="348">
        <f ca="1"/>
        <v>45757</v>
      </c>
      <c r="C130" vm="349">
        <f ca="1"/>
        <v>90.61</v>
      </c>
      <c r="E130" vm="348">
        <f ca="1"/>
        <v>45757</v>
      </c>
      <c r="F130" vm="350">
        <f ca="1"/>
        <v>10.69</v>
      </c>
    </row>
    <row r="131" spans="2:6" x14ac:dyDescent="0.25">
      <c r="B131" vm="351">
        <f ca="1"/>
        <v>45758</v>
      </c>
      <c r="C131" vm="352">
        <f ca="1"/>
        <v>92.8</v>
      </c>
      <c r="E131" vm="351">
        <f ca="1"/>
        <v>45758</v>
      </c>
      <c r="F131" vm="347">
        <f ca="1"/>
        <v>10.78</v>
      </c>
    </row>
    <row r="132" spans="2:6" x14ac:dyDescent="0.25">
      <c r="B132" vm="353">
        <f ca="1"/>
        <v>45761</v>
      </c>
      <c r="C132" vm="354">
        <f ca="1"/>
        <v>94.73</v>
      </c>
      <c r="E132" vm="353">
        <f ca="1"/>
        <v>45761</v>
      </c>
      <c r="F132" vm="355">
        <f ca="1"/>
        <v>10.91</v>
      </c>
    </row>
  </sheetData>
  <dataValidations count="1">
    <dataValidation type="list" allowBlank="1" showInputMessage="1" showErrorMessage="1" sqref="S4" xr:uid="{0E3E3459-13C8-4237-ADA3-68DE8F750BB6}">
      <formula1>"1,3,6,12"</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8118ABA6-CF90-49D4-8104-5274C2206F0F}">
          <x14:formula1>
            <xm:f>Dashboard!$B$8:$B$15</xm:f>
          </x14:formula1>
          <xm:sqref>L4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Transactions</vt:lpstr>
      <vt:lpstr>Dashboard</vt:lpstr>
      <vt:lpstr>Analysis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Chad Swankoski</dc:creator>
  <cp:keywords/>
  <dc:description/>
  <cp:lastModifiedBy>Chad Swankoski</cp:lastModifiedBy>
  <cp:revision/>
  <dcterms:created xsi:type="dcterms:W3CDTF">2025-01-25T19:00:52Z</dcterms:created>
  <dcterms:modified xsi:type="dcterms:W3CDTF">2025-04-15T23:24:11Z</dcterms:modified>
  <cp:category/>
  <cp:contentStatus/>
</cp:coreProperties>
</file>